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ปูม\ปูม\จัดซื้อวัสดุคอมเกินแสน\วัสดุคอม69\"/>
    </mc:Choice>
  </mc:AlternateContent>
  <xr:revisionPtr revIDLastSave="0" documentId="13_ncr:1_{881D0EB4-5FB1-4A00-B988-251DA4BDC299}" xr6:coauthVersionLast="47" xr6:coauthVersionMax="47" xr10:uidLastSave="{00000000-0000-0000-0000-000000000000}"/>
  <bookViews>
    <workbookView xWindow="-109" yWindow="-109" windowWidth="26301" windowHeight="14169" tabRatio="651" activeTab="2" xr2:uid="{00000000-000D-0000-FFFF-FFFF00000000}"/>
  </bookViews>
  <sheets>
    <sheet name="ราคากลาง69" sheetId="3" r:id="rId1"/>
    <sheet name="ราคาประมาณการ" sheetId="80" r:id="rId2"/>
    <sheet name="คุณลักษณะ69-1" sheetId="77" r:id="rId3"/>
    <sheet name="ร้านค้า" sheetId="78" r:id="rId4"/>
    <sheet name="แนบท้ายบันทึก" sheetId="79" r:id="rId5"/>
  </sheets>
  <definedNames>
    <definedName name="_xlnm.Print_Titles" localSheetId="4">แนบท้ายบันทึก!$4:$5</definedName>
    <definedName name="_xlnm.Print_Titles" localSheetId="0">ราคากลาง69!$3:$4</definedName>
    <definedName name="_xlnm.Print_Titles" localSheetId="1">ราคาประมาณการ!$3:$4</definedName>
    <definedName name="_xlnm.Print_Titles" localSheetId="3">ร้านค้า!$3:$4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80" l="1"/>
  <c r="F52" i="80"/>
  <c r="F51" i="80"/>
  <c r="F50" i="80"/>
  <c r="F49" i="80"/>
  <c r="F48" i="80"/>
  <c r="F47" i="80"/>
  <c r="F46" i="80"/>
  <c r="F45" i="80"/>
  <c r="F44" i="80"/>
  <c r="F43" i="80"/>
  <c r="F42" i="80"/>
  <c r="F41" i="80"/>
  <c r="F40" i="80"/>
  <c r="F39" i="80"/>
  <c r="F38" i="80"/>
  <c r="F37" i="80"/>
  <c r="F36" i="80"/>
  <c r="F35" i="80"/>
  <c r="F34" i="80"/>
  <c r="F33" i="80"/>
  <c r="F32" i="80"/>
  <c r="F31" i="80"/>
  <c r="F30" i="80"/>
  <c r="F29" i="80"/>
  <c r="F28" i="80"/>
  <c r="F27" i="80"/>
  <c r="F26" i="80"/>
  <c r="F25" i="80"/>
  <c r="F24" i="80"/>
  <c r="F23" i="80"/>
  <c r="F22" i="80"/>
  <c r="F21" i="80"/>
  <c r="F20" i="80"/>
  <c r="F19" i="80"/>
  <c r="F18" i="80"/>
  <c r="F17" i="80"/>
  <c r="F16" i="80"/>
  <c r="F15" i="80"/>
  <c r="F14" i="80"/>
  <c r="F13" i="80"/>
  <c r="F12" i="80"/>
  <c r="F11" i="80"/>
  <c r="F10" i="80"/>
  <c r="F9" i="80"/>
  <c r="F8" i="80"/>
  <c r="F7" i="80"/>
  <c r="F6" i="80"/>
  <c r="F5" i="80"/>
  <c r="F53" i="3"/>
  <c r="F52" i="3"/>
  <c r="F51" i="3"/>
  <c r="F50" i="3"/>
  <c r="F52" i="78"/>
  <c r="F53" i="78"/>
  <c r="F51" i="78"/>
  <c r="F50" i="78"/>
  <c r="F55" i="80" l="1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55" i="3" l="1"/>
  <c r="F47" i="78"/>
  <c r="F49" i="78"/>
  <c r="F48" i="78"/>
  <c r="F46" i="78"/>
  <c r="F45" i="78"/>
  <c r="F44" i="78"/>
  <c r="F43" i="78"/>
  <c r="F42" i="78"/>
  <c r="F41" i="78"/>
  <c r="F40" i="78"/>
  <c r="F39" i="78"/>
  <c r="F38" i="78"/>
  <c r="F37" i="78"/>
  <c r="F36" i="78"/>
  <c r="F35" i="78"/>
  <c r="F34" i="78"/>
  <c r="F33" i="78"/>
  <c r="F32" i="78"/>
  <c r="F31" i="78"/>
  <c r="F30" i="78"/>
  <c r="F29" i="78"/>
  <c r="F28" i="78"/>
  <c r="F27" i="78"/>
  <c r="F26" i="78"/>
  <c r="F25" i="78"/>
  <c r="F24" i="78"/>
  <c r="F23" i="78"/>
  <c r="F22" i="78"/>
  <c r="F21" i="78"/>
  <c r="F20" i="78"/>
  <c r="F19" i="78"/>
  <c r="F18" i="78"/>
  <c r="F17" i="78"/>
  <c r="F16" i="78"/>
  <c r="F15" i="78"/>
  <c r="F14" i="78"/>
  <c r="F13" i="78"/>
  <c r="F12" i="78"/>
  <c r="F11" i="78"/>
  <c r="F10" i="78"/>
  <c r="F9" i="78"/>
  <c r="F8" i="78"/>
  <c r="F7" i="78"/>
  <c r="F6" i="78"/>
  <c r="F5" i="78"/>
  <c r="F55" i="78" l="1"/>
</calcChain>
</file>

<file path=xl/sharedStrings.xml><?xml version="1.0" encoding="utf-8"?>
<sst xmlns="http://schemas.openxmlformats.org/spreadsheetml/2006/main" count="834" uniqueCount="229">
  <si>
    <t>ลำดับ</t>
  </si>
  <si>
    <t>รายการ</t>
  </si>
  <si>
    <t>ราคาต่อหน่วย/รายการ</t>
  </si>
  <si>
    <t>จำนวนเงิน</t>
  </si>
  <si>
    <t>รวมเป็นเงิน</t>
  </si>
  <si>
    <t>เส้น</t>
  </si>
  <si>
    <t>รายละเอียดคุณลักษณะ</t>
  </si>
  <si>
    <t>จำนวน/รายการ/หน่วยนับ</t>
  </si>
  <si>
    <t>ราคาประมาณการ/ราคากลาง</t>
  </si>
  <si>
    <t>ชิ้น</t>
  </si>
  <si>
    <t>เป็นพัสดุที่นำเข้าหรือผลิตในต่างประเทศเนื่องจากไม่มีพัสดุที่ผลิตในประเทศ</t>
  </si>
  <si>
    <t>ขวด</t>
  </si>
  <si>
    <t>ตัว</t>
  </si>
  <si>
    <t>ชุด</t>
  </si>
  <si>
    <t>อัน</t>
  </si>
  <si>
    <t>หลอด</t>
  </si>
  <si>
    <t>ห่อ</t>
  </si>
  <si>
    <t>แพ็ค</t>
  </si>
  <si>
    <t>กำลังไฟ 1.5 โวลต์ เพิ่มพลังไฟ 30% ขนาด AA มาตรฐานอุตสาหกรรม
ไร้สารปรอท ปลอดภัยต่อสิ่งแวดล้อม บรรจุ 2 ก้อน/แพ็ค ใช้งานได้นาน</t>
  </si>
  <si>
    <t>กำลังไฟ 1.5 โวลต์ เพิ่มพลังไฟ 30% ขนาด AAA มาตรฐานอุตสาหกรรม
ไร้สารปรอท ปลอดภัยต่อสิ่งแวดล้อม บรรจุ 2 ก้อน/แพ็ค ใช้งานได้นาน</t>
  </si>
  <si>
    <t xml:space="preserve">                                            ลงชื่อ...................................................ประธานกรรมการ</t>
  </si>
  <si>
    <t xml:space="preserve">                                                     (นางสาวปารวี  วัฒนการกิจ)</t>
  </si>
  <si>
    <t xml:space="preserve">                                                     หัวหน้าฝ่ายบริหารงานทั่วไป</t>
  </si>
  <si>
    <t>ลงชื่อ....................................................กรรมการ                          ลงชื่อ....................................................กรรมการ</t>
  </si>
  <si>
    <t xml:space="preserve">          (นางภัทรวรรณ  ห้วยตะคุ)                                                 (นางณรรฐวรรณ  สีดาบุตร)                                                        </t>
  </si>
  <si>
    <t xml:space="preserve">       นักจัดการงานทั่วไปปฏิบัติการ                                              เจ้าพนักงานธุรการชำนาญงาน                          </t>
  </si>
  <si>
    <t xml:space="preserve">กำหนดยืนราคา                  ภายใน  30  วัน  </t>
  </si>
  <si>
    <t>.</t>
  </si>
  <si>
    <t xml:space="preserve">                           - 2 -</t>
  </si>
  <si>
    <t xml:space="preserve">                           - 3 -</t>
  </si>
  <si>
    <t xml:space="preserve">                           - 4 -</t>
  </si>
  <si>
    <t>ซองใส่แผ่น CD ห่อ (แบบใส) 1 : 100 ซอง</t>
  </si>
  <si>
    <t>ซอง</t>
  </si>
  <si>
    <t>Flash Drive เก็บข้อมูล ขนาด 64 GB</t>
  </si>
  <si>
    <t>Flash Drive เก็บข้อมูล ขนาด 32 GB</t>
  </si>
  <si>
    <t>อุปกรณ์ 3 Port USB HUB v3.0 + Card Reader mt-20</t>
  </si>
  <si>
    <t>Mouse USB แบบมีสาย logitech</t>
  </si>
  <si>
    <t>Keyboard USB แบบมีสาย logitech</t>
  </si>
  <si>
    <t>Keyboard &amp; Mouse แบบไร้สาย logitech</t>
  </si>
  <si>
    <t>HDD อุปกรณ์จัดเก็บข้อมูล ขนาด 2TB seagate</t>
  </si>
  <si>
    <t>สาย HDMI ความยาว 1.5 เมตร ยี่ห้อ glink</t>
  </si>
  <si>
    <t>รายละเอียดสินค้า</t>
  </si>
  <si>
    <t>ตัวแปลง Converter Type-C TO LAN ยี่ห้อ glink gl-041c</t>
  </si>
  <si>
    <t>ตัวแปลงสัญญาณ UTP to Wifi (EAP115 WALL) ยี่ห้อ tp-link</t>
  </si>
  <si>
    <t>สาย Cable Extension USB2 M/F ยาว 10 เมตร /10321</t>
  </si>
  <si>
    <t>สาย Cable Type-C To Type-C ยาว 1.5 เมตร</t>
  </si>
  <si>
    <t>แบตเตอรี่ NP-F970 NP-F960 สำหรับอุปกรณ์ HDMI ไร้สาย</t>
  </si>
  <si>
    <t>Raspberry Pi 4 – บอร์ดประมวลผลคำสั่งระบบฝังตัว ขนาด 4GB RAM</t>
  </si>
  <si>
    <t>ตัวแยกสายสัญญาณ POE รองรับ IEEE 802.3Af</t>
  </si>
  <si>
    <t>บัดกรีฟลักซ์ NC-559 10cc ASM UV คุณภาพสูง สําหรับซ่อมแซมแผงวงจรอเนกประสงค์</t>
  </si>
  <si>
    <t>ลวดซับตะกั่ว MIJING AR-2020 AR-2015 ดูดซับดีบุก สำหรับเชื่อมเมนบอร์ด</t>
  </si>
  <si>
    <t>ม้วน</t>
  </si>
  <si>
    <t>น้ำยาประสานสำหรับบัดกรี แบตเตอรี่ 18650</t>
  </si>
  <si>
    <t>ดีบุกตลับเคลือบปลายหัวแร้ง goot(BS-2)</t>
  </si>
  <si>
    <t>กระปุก</t>
  </si>
  <si>
    <t>สายแปลงสัญญาณ USB เป็น RS422/RS485 Serial Port Converter Adapter Cable ยี่ห้อ UGREEN</t>
  </si>
  <si>
    <t>JT-COM 25G SFP DAC สาย Passive Direct Connect SFP28 ถึง SFP28 สายรับ-ส่งข้อมูลความเร็วสูงสำหรับเชื่อมต่ออุปกรณ์เครือข่าย ความยาว 4 เมตร</t>
  </si>
  <si>
    <t>Glink GAC-107 Adapter 52V - 2A (5.5*2.5mm) อะแดปเตอร์สำหรับ POE</t>
  </si>
  <si>
    <t>รางปีกนก รางรีเลย์ 20cm รางเบรกเกอร์ รางเหล็ก Din rail</t>
  </si>
  <si>
    <t>STOPPER สต๊อปเปอร์รางปีกนก สต๊อปเปอร์รางรีเลย์ ราง DIN Rail สีทอง ตัวกั้นล็อกอุปกรณ์บนรางเหล็ก</t>
  </si>
  <si>
    <t>HETH 35 มม.U รูป DIN Rail Holder Universal Rail Bule Rail Fix Clamp Fastener คลิป C45 Rail Bule HETH (แบบ A1) ขาจับยึดอุปกรณ์อิเล็กทรอนิกส์บนรางมาตรฐาน</t>
  </si>
  <si>
    <t>ใบ</t>
  </si>
  <si>
    <t>PCIE PCI-E PCI Express X1 to PCI Riser Card Bus Card High Efficiency Adapter Converter USB 3.0 Cable for Desktop PC อุปกรณ์แปลงช่องเสียบขนาดเล็กบนเมนบอร์ด</t>
  </si>
  <si>
    <t>Eth01-evo โมดูลอีเธอร์เน็ต ESP32-C3 3 in 1 WT32-ETH01 อุปกรณ์เชื่อมต่ออินเทอร์เน็ตแบบ 3 ระบบ (สายแลน, WiFi, Bluetooth)</t>
  </si>
  <si>
    <t>SD Card 64 GB sandisk (SDSDUNR-064G-GN3IN)</t>
  </si>
  <si>
    <t>ประชาสัมพันธ์</t>
  </si>
  <si>
    <t>บริหาร</t>
  </si>
  <si>
    <t>Mouse Wireless ยี่ห้อ logitech</t>
  </si>
  <si>
    <t>ซองพลาสติกใส ใช้สำหรับเก็บและป้องกันรอยขีดข่วนให้แผ่น CD/DVD</t>
  </si>
  <si>
    <t>หัวแปลงสำหรับต่อมือถือหรือโน้ตบุ๊ก (พอร์ต Type-C) เข้ากับจอทีวีหรือโปรเจกเตอร์</t>
  </si>
  <si>
    <t>อุปกรณ์เก็บข้อมูลขนาดพกพา สำหรับสำรองไฟล์งานทั่วไป ขนาด 64 GB</t>
  </si>
  <si>
    <t>อุปกรณ์เก็บข้อมูลขนาดพกพา สำหรับสำรองไฟล์งานทั่วไป ขนาด 32GB</t>
  </si>
  <si>
    <t>ตัวเพิ่มช่อง USB 3 ช่อง พร้อมช่องเสียบอ่านเมมโมรี่การ์ดในตัวเดียว</t>
  </si>
  <si>
    <t>Mouse USB แบบมีสาย</t>
  </si>
  <si>
    <t>เมาส์มาตรฐานเสียบสาย USB ใช้งานง่าย แม่นยำ ไม่ต้องใส่ถ่าน</t>
  </si>
  <si>
    <t>Keyboard USB แบบมีสาย</t>
  </si>
  <si>
    <t>คีย์บอร์ดมาตรฐานเชื่อมต่อด้วยสาย USB พิมพ์ถนัด ทนทานต่อการใช้งานหนัก</t>
  </si>
  <si>
    <t>Keyboard &amp; Mouse แบบไร้สาย</t>
  </si>
  <si>
    <t>ชุดเม้าส์และคีย์บอร์ดแบบไร้สาย ช่วยให้โต๊ะทำงานดูสะอาดตา เคลื่อนย้ายสะดวก</t>
  </si>
  <si>
    <t>เมมโมรี่การ์ดความเร็วสูง สำหรับกล้องถ่ายรูปหรือวิดีโอ ช่วยให้บันทึกภาพได้ลื่นไหล ขนาด 32GB</t>
  </si>
  <si>
    <t>HDD อุปกรณ์จัดเก็บข้อมูล ขนาด 2TB</t>
  </si>
  <si>
    <t>ฮาร์ดดิสก์ความจุสูงพิเศษ เหมาะสำหรับเก็บสำรองข้อมูลจำนวนมากหรือไฟล์งานขนาดใหญ่ ขนาด 2TB</t>
  </si>
  <si>
    <t>หัวสำหรับเข้าสายโทรศัพท์บ้านหรือสายสัญญาณโมเด็มมาตรฐาน</t>
  </si>
  <si>
    <t>สาย HDMI ความยาว 1.5 เมตร</t>
  </si>
  <si>
    <t>สายเชื่อมต่อสัญญาณภาพและเสียงระบบดิจิทัล สำหรับจอคอมพิวเตอร์หรือทีวี</t>
  </si>
  <si>
    <t>กล้อง Webcam แบบบันทึกภาพได้ สำหรับประชุมออนไลน์ และงานกิจกรรม</t>
  </si>
  <si>
    <t>ตัวแปลง Converter Type-C TO LAN</t>
  </si>
  <si>
    <t>หัวแปลงสำหรับโน้ตบุ๊กที่ไม่มีช่องแลน เพื่อให้เชื่อมต่อเน็ตผ่านสายได้เสถียรขึ้น</t>
  </si>
  <si>
    <t>ตัวแปลงสัญญาณ UTP to Wifi (EAP115 WALL)</t>
  </si>
  <si>
    <t>อุปกรณ์กระจายสัญญาณ Wi-Fi แบบติดผนัง เปลี่ยนสายแลนให้เป็นคลื่นวิทยุ</t>
  </si>
  <si>
    <t>สาย Cable Extension USB2 M/F ยาว 10 เมตร</t>
  </si>
  <si>
    <t>สายเพิ่มความยาวพอร์ต USB สำหรับต่ออุปกรณ์ในระยะไกล</t>
  </si>
  <si>
    <t>สาย Cable Type-C To Type-C</t>
  </si>
  <si>
    <t>สายชาร์จหรือรับส่งข้อมูลความเร็วสูง สำหรับอุปกรณ์รุ่นใหม่ที่ใช้หัว Type-C ทั้งสองด้าน</t>
  </si>
  <si>
    <t>แบตเตอรี่สำรองสำหรับอุปกรณ์พกพา เช่น ชุดส่งสัญญาณภาพไร้สาย หรือไฟสตูดิโอ</t>
  </si>
  <si>
    <t>อุปกรณ์เก็บข้อมูลพกพาแบบ SSD รับส่งไฟล์ไวมาก ทนแรงกระแทกได้ดีกว่าฮาร์ดดิสก์</t>
  </si>
  <si>
    <t>บอร์ดคอมพิวเตอร์ขนาดจิ๋ว สำหรับใช้ควบคุมระบบอัตโนมัติหรือประมวลผลคำสั่งฝังตัว</t>
  </si>
  <si>
    <t>อุปกรณ์แยกไฟออกจากสายแลน เพื่อจ่ายไฟให้กล้องหรืออุปกรณ์ที่ไม่มีระบบ POE ในตัว</t>
  </si>
  <si>
    <t>ครีมประสานช่วยให้การเชื่อมตะกั่วลงแผงวงจรทำได้ง่ายและติดแน่นขึ้น</t>
  </si>
  <si>
    <t>ลวดทองแดงถัก ใช้สำหรับดูดซับตะกั่วส่วนเกินออกจากเมนบอร์ดขณะซ่อม</t>
  </si>
  <si>
    <t>น้ำยาช่วยให้ตะกั่วเกาะขั้วแบตเตอรี่ (เช่น ถ่าน 18650) ได้แน่นกว่าปกติ</t>
  </si>
  <si>
    <t>ครีมสำหรับล้างและชุบปลายหัวแร้งให้สะอาด เพื่อให้นำความร้อนและติดตะกั่วได้ดี</t>
  </si>
  <si>
    <t>สายเชื่อมต่อคอมพิวเตอร์เข้ากับอุปกรณ์คอนโทรลเลอร์หรือเครื่องจักรในงานอุตสาหกรรม</t>
  </si>
  <si>
    <t>สายพิเศษสำหรับเสียบตั้งค่าอุปกรณ์เน็ตเวิร์ก เช่น สวิตช์ (Switch) หรือเราเตอร์</t>
  </si>
  <si>
    <t>สายรับ-ส่งข้อมูลความเร็วสูงพิเศษ (25G) สำหรับเชื่อมต่อระหว่างเครื่องเซิร์ฟเวอร์หรือสวิตช์</t>
  </si>
  <si>
    <t>ตัวจ่ายไฟเลี้ยงประสิทธิภาพสูง สำหรับส่งไฟไปตามสายแลนเพื่อเลี้ยงอุปกรณ์เน็ตเวิร์ก</t>
  </si>
  <si>
    <t>รางเหล็กสำหรับยึดติดตั้งเบรกเกอร์ รีเลย์ หรืออุปกรณ์ไฟฟ้าภายในตู้คอนโทรล</t>
  </si>
  <si>
    <t>ตัวกั้นสำหรับล็อกอุปกรณ์ไฟฟ้าไม่ให้เลื่อนไปมาบนรางปีกนก (Din Rail)</t>
  </si>
  <si>
    <t>คลิปสำหรับยึดแผงวงจรหรืออุปกรณ์อิเล็กทรอนิกส์เข้ากับรางมาตรฐานขนาด 35 มม.</t>
  </si>
  <si>
    <t>การ์ดแปลงสำหรับขยายช่องเสียบบนเมนบอร์ด เพื่อต่อพ่วงอุปกรณ์เพิ่มในคอมพิวเตอร์</t>
  </si>
  <si>
    <t>บอร์ดควบคุมขนาดเล็กที่รองรับการเชื่อมต่อทั้งสายแลน, Wi-Fi และ Bluetooth ในตัวเดียว</t>
  </si>
  <si>
    <t>SD Card 64 GB</t>
  </si>
  <si>
    <t>การ์ดหน่วยความจำความเร็วสูง (MicroSDXC/SDXC) ความจุ 64GB รองรับการบันทึกวิดีโอ Full HD/4K และถ่ายโอนข้อมูลรวดเร็ว เหมาะสำหรับสมาร์ทโฟน กล้อง Action Camera และกล้องวงจรปิด ทนทาน กันน้ำ กันกระแทก มีรุ่นยอดนิยม ได้แก่ Ultra (เร็ว 100-140MB/s), Extreme (รองรับ 4K), และ High Endurance (ทนทานสูงสุด)</t>
  </si>
  <si>
    <t>รางปลั๊กไฟ 4 ช่องเสียบ ยาว 5 เมตร เหมาะสำหรับคอมพิวเตอร์และอุปกรณ์อิเล็กทรอนิกส์ทั่วไป มักได้มาตรฐาน มอก. 2432-2555 รองรับกระแสไฟ 10A-16A กำลังไฟสูงสุด 2,300-3,600 วัตต์ ผลิตจากวัสดุไม่ลามไฟ มีม่านนิรภัยป้องกันไฟฟ้าดูด ระบบตัดไฟอัตโนมัติ และสวิตช์แยก-รวม เปิด/ปิด</t>
  </si>
  <si>
    <t>เป็นรางปลั๊กไฟมาตรฐาน มอก.2432-2555 ที่มีความปลอดภัยสูง รองรับกำลังไฟได้ถึง 2200-2300 วัตต์ (10-16 แอมป์) มาพร้อมสวิตช์แยกเปิด-ปิดรายช่อง, ม่านนิรภัย, ระบบ Surge Protection ป้องกันไฟกระชาก และ Circuit Breaker ตัดไฟอัตโนมัติเมื่อใช้เกิน</t>
  </si>
  <si>
    <t>Mouse Wireless</t>
  </si>
  <si>
    <t>เป็นอุปกรณ์ควบคุมคอมพิวเตอร์ที่ใช้เทคโนโลยีคลื่นวิทยุ 2.4GHz หรือ Bluetooth เพื่อเชื่อมต่อโดยไม่ต้องใช้สาย สัญญาณเสถียร ใช้งานได้ระยะไกลประมาณ 10 เมตร จุดเด่นคือความคล่องตัวสูง พกพาสะดวก ไม่เกะกะโต๊ะทำงาน รองรับทั้งการทำงานทั่วไปและเล่นเกม มีทั้งแบบใช้แบตเตอรี่และชาร์จไฟได้</t>
  </si>
  <si>
    <t>ชุดหูฟังพร้อมไมโครโฟน สำหรับการประชุมออนไลน์</t>
  </si>
  <si>
    <t>ปลั๊กโรลม้วนเก็บสายไฟ 4 ช่อง 20 เมตร</t>
  </si>
  <si>
    <t>ปลั๊กโรลม้วนเก็บสายไฟ 4 ช่อง ความยาว 20 เมตร มักผลิตจากเหล็กหรือพลาสติกคุณภาพสูง รองรับกำลังไฟได้ถึง 3,600 วัตต์ (16A) เหมาะสำหรับงานช่างและงานนอกสถานที่ มีระบบมาตรฐาน มอก. ทั้งสายไฟ VCT (มักเป็นขนาด หรือ ตร.มม.) และระบบเบรกเกอร์นิรภัยตัดไฟอัตโนมัติเมื่อไฟเกิน</t>
  </si>
  <si>
    <t>ถ่านอัลคาไลน์ AA  1 :2 ก้อน</t>
  </si>
  <si>
    <t>ถ่านอัลคาไลน์ AAA 1 :2 ก้อน</t>
  </si>
  <si>
    <t>รางปลั๊กคอมพิวเตอร์ 4 ช่องเสียบ 4 สวิตซ์ 5 เมตร</t>
  </si>
  <si>
    <t>หมายเหตุ</t>
  </si>
  <si>
    <t>สถิติ</t>
  </si>
  <si>
    <t>สถิติ 2/บริหาร 2</t>
  </si>
  <si>
    <t>สถิติ 5/บริหาร 1</t>
  </si>
  <si>
    <t>เอาของมาแล้ว</t>
  </si>
  <si>
    <t>หัวสัญญาณ RJ11 Telephone PLUG</t>
  </si>
  <si>
    <t>สถิติ 5/ปชส. 3</t>
  </si>
  <si>
    <t>กล้อง Webcam แบบบันทึกภาพได้ สำหรับประชุมออนไลน์ และงานกิจกรรม ยี่ห้อ IMOU รุ่น CUE2 C32EP</t>
  </si>
  <si>
    <t>SSD EXTERNAL SanDisk Extreme USB 3.2 Gen อุปกรณ์จัดเก็บข้อมูลพกพาแบบ SSD ขนาด 1 TB</t>
  </si>
  <si>
    <t>วิเคราะห์</t>
  </si>
  <si>
    <t xml:space="preserve">7 port USB HUB </t>
  </si>
  <si>
    <t>หัวสัญญาณ RJ11 Telephone PLUG ยีห้อ link UL-3011</t>
  </si>
  <si>
    <t xml:space="preserve">สายเชื่อมต่อพิเศษสำหรับตั้งค่าอุปกรณ์เครือข่าย ความยาว 1.5 เมตร UGREEN รุ่น CM204 USB M to RJ45 M Console Cable </t>
  </si>
  <si>
    <t>รางปลั๊กคอมพิวเตอร์ 4 ช่อง 4 สวิตซ์ ยาว 5 เมตร ยี่ห้อ toshino</t>
  </si>
  <si>
    <t>รางปลั๊กคอมพิวเตร์ 6 ช่อง 6 สวิตซ์ ยาว 5 เมตร ยี่ห้อ toshino</t>
  </si>
  <si>
    <t xml:space="preserve">สถิติ </t>
  </si>
  <si>
    <t>กล้อง Webcam สำหรับประชุมออนไลน์ ยี่ห้อ Logitech  BRIO 100 (GRAPHITE)</t>
  </si>
  <si>
    <t>วิเคราะห์ 2/บริหาร 1</t>
  </si>
  <si>
    <t>ถ่านอัลคาไลน์ AA ยี่ห้อ panasonic 1 :2 ก้อน</t>
  </si>
  <si>
    <t>ถ่านอัลคาไลน์ AAA ยี่ห้อ panasonic 1 :2 ก้อน</t>
  </si>
  <si>
    <t>เอาของมาก่อน 50 แพ็ค</t>
  </si>
  <si>
    <t>เอาของมาก่อน 1 อัน</t>
  </si>
  <si>
    <t>สถิติ 5/วิเคราะห์ 1/        บริหาร 1</t>
  </si>
  <si>
    <t>บัดกรีฟลักซ์ NC-559 10cc ASM UV คุณภาพสูง สําหรับ        ซ่อมแซมแผงวงจรอเนกประสงค์</t>
  </si>
  <si>
    <t>ลวดซับตะกั่ว MIJING AR-2020 AR-2015 ดูดซับดีบุก สำหรับ  เชื่อมเมนบอร์ด</t>
  </si>
  <si>
    <t xml:space="preserve">อุปกรณ์แปลงสัญญาณภาพ Tyce-C to HDMI 7044 </t>
  </si>
  <si>
    <t xml:space="preserve">Mouse USB แบบมีสาย </t>
  </si>
  <si>
    <t xml:space="preserve">Keyboard USB แบบมีสาย </t>
  </si>
  <si>
    <t xml:space="preserve">Keyboard &amp; Mouse แบบไร้สาย </t>
  </si>
  <si>
    <t xml:space="preserve">อุปกรณ์จัดเก็บข้อมูล 32GB แบบ SD Card </t>
  </si>
  <si>
    <t xml:space="preserve">HDD อุปกรณ์จัดเก็บข้อมูล ขนาด 2TB </t>
  </si>
  <si>
    <t xml:space="preserve">หัวสัญญาณ RJ11 Telephone PLUG </t>
  </si>
  <si>
    <t xml:space="preserve">สาย HDMI ความยาว 1.5 เมตร </t>
  </si>
  <si>
    <t xml:space="preserve">กล้อง Webcam แบบบันทึกภาพได้ สำหรับประชุมออนไลน์ และงานกิจกรรม </t>
  </si>
  <si>
    <t xml:space="preserve">ตัวแปลง Converter Type-C TO LAN </t>
  </si>
  <si>
    <t xml:space="preserve">ตัวแปลงสัญญาณ UTP to Wifi (EAP115 WALL) </t>
  </si>
  <si>
    <t>SSD EXTERNAL USB 3.2 Gen อุปกรณ์จัดเก็บข้อมูลพกพาแบบ SSD ขนาด 1 TB</t>
  </si>
  <si>
    <t xml:space="preserve">สายแปลงสัญญาณ USB เป็น RS422/RS485 Serial Port Converter Adapter Cable </t>
  </si>
  <si>
    <t xml:space="preserve">สายเชื่อมต่อพิเศษสำหรับตั้งค่าอุปกรณ์เครือข่าย ความยาว 1.5 เมตร USB M to RJ45 M Console Cable </t>
  </si>
  <si>
    <t>Adapter 52V - 2A (5.5*2.5mm) อะแดปเตอร์สำหรับ POE</t>
  </si>
  <si>
    <t xml:space="preserve">รางปีกนก รางรีเลย์ 20cm รางเบรกเกอร์ รางเหล็ก </t>
  </si>
  <si>
    <t>STOPPER สต๊อปเปอร์รางปีกนก สต๊อปเปอร์รางรีเลย์ รางสีทอง   ตัวกั้นล็อกอุปกรณ์บนรางเหล็ก</t>
  </si>
  <si>
    <t xml:space="preserve">SD Card 64 GB </t>
  </si>
  <si>
    <t xml:space="preserve">รางปลั๊กคอมพิวเตอร์ 4 ช่อง 4 สวิตซ์ ยาว 5 เมตร </t>
  </si>
  <si>
    <t xml:space="preserve">รางปลั๊กคอมพิวเตร์ 6 ช่อง 6 สวิตซ์ ยาว 5 เมตร </t>
  </si>
  <si>
    <t xml:space="preserve">Mouse Wireless </t>
  </si>
  <si>
    <t xml:space="preserve">ชุดหูฟังพร้อมไมโครโฟน สำหรับการประชุมออนไลน์ </t>
  </si>
  <si>
    <t>ถ่านอัลคาไลน์ AA 1 :2 ก้อน</t>
  </si>
  <si>
    <t>อุปกรณ์แปลงสัญญาณภาพ Tyce-C to HDMI 7044</t>
  </si>
  <si>
    <t>SSD EXTERNAL USB 3.2 Gen 2 SDSSDE611T00G25 อุปกรณ์จัดเก็บข้อมูลพกพาแบบ SSD ขนาด 500 - 512 GB</t>
  </si>
  <si>
    <t>บอร์ดประมวลผลคำสั่งระบบฝังตัว ขนาด 4GB RAM</t>
  </si>
  <si>
    <t xml:space="preserve">สายเชื่อมต่อพิเศษสำหรับตั้งค่าอุปกรณ์เครือข่าย     ความยาว 1.5 เมตร USB M to RJ45 M Console Cable </t>
  </si>
  <si>
    <t>STOPPER สต๊อปเปอร์รางปีกนก สต๊อปเปอร์รางรีเลย์ ราง สีทอง ตัวกั้นล็อกอุปกรณ์บนรางเหล็ก</t>
  </si>
  <si>
    <t>รางปลั๊กคอมพิวเตร์ 6 ช่องเสียบ 6 สวิตซ์ 5 เมตร</t>
  </si>
  <si>
    <t xml:space="preserve">ปลั๊กโรลม้วนเก็บสายไฟ 4 ช่อง 20 เมตร </t>
  </si>
  <si>
    <t>ปลั๊กโรลม้วนเก็บสายไฟ 4 ช่อง 20 เมตร ยี่ห้อ Miyawa sun</t>
  </si>
  <si>
    <t>7 port USB HUB ORICO</t>
  </si>
  <si>
    <t>Name :  7 Ports Hub 
Product Material : ABS
Product Size : 140.7 x 30.6 x 18.7 MM
Input Interface : USB 3.0 Type-A
Output interface : USB 3.0 Type-A 5Gbps (Shared channel)
Power supply port : USB-C 5V/3A (MAX)
Support System : Windows, Mac OS, Linux</t>
  </si>
  <si>
    <t>ชุดหูฟังพร้อมไมโครโฟน สำหรับการประชุมออนไลน์ HYPERX CLOUD III</t>
  </si>
  <si>
    <t>รายละเอียดแนบท้าย</t>
  </si>
  <si>
    <t xml:space="preserve">กระเป๋า (เป้) จัดเก็บ Notebook Lenovo ThinkPad Essential plus 15.6-inch Backpack </t>
  </si>
  <si>
    <t xml:space="preserve">กระเป๋า (เป้) จัดเก็บ Notebook Lenovo ThinkPad Essential plus 15.6-inch Backpack      </t>
  </si>
  <si>
    <t>อุปกรณ์จัดเก็บข้อมูล 32GB แบบ SD Card Sandisk Extreme Pro</t>
  </si>
  <si>
    <t>ลวดซับตะกั่ว MIJING AR-2020 AR-2015 ดูดซับดีบุก สำหรับ        เชื่อมเมนบอร์ด</t>
  </si>
  <si>
    <t>เป็นมิตรกับสิ่งแวดล้อม: ผลิตจากวัสดุรีไซเคิลเท่ากับขวดพลาสติก 8 ขวด ช่องแล็ป     ท็อปแยกเฉพาะ พื้นที่เก็บของขนาดใหญ่สำหรับจัดเก็บเอกสารและอุปกรณ์เสริม      ช่องซิปด้านหน้าช่วยจัดระเบียบอุปกรณ์ขนาดเล็ก ช่องเก็บของด่วนสำหรับโทรศัพท์   มือถือ ตัวซิบที่ใช้ง่าย หูหิ้วที่แข็งแกร่ง สายรัดภายนอกสำหรับยึดสิ่งของ และช่องใส่ขวดน้ำ</t>
  </si>
  <si>
    <t>กล้องความละเอียดสูงพร้อมไมค์ในตัว ใช้สำหรับการประชุมออนไลน์หรือไลฟ์สด Resolution : 3MP (2304 x 1296) Lens : 2.8mm IR Distance : 10m
Audio Communication : Two-Way Frame Rate : Up to 25/30fps.
Video Compression : H.265/H.264 Day/Night Mode : IR cut filter 
MicroSD card slot (Up to 256 GB)</t>
  </si>
  <si>
    <t xml:space="preserve">ดูคมชัดขึ้นในวิดีโอคอลด้วยความละเอียด Full HD 1080p RightLight เพิ่มความสว่างสูงสุด 50% ลดแสงเงา ไมโครโฟนในตัวช่วยให้ผู้อื่นได้ยินอย่างชัดเจนขณะวิดีโอคอล ต่อและใช้ได้ทันทีอย่างง่ายดาย: Brio 100 ใช้งานได้กับแพลตฟอร์มวิดีโอคอลส่วนใหญ่ รวมถึง Microsoft Teams, Zoom และ Google Meet </t>
  </si>
  <si>
    <t>คุณภาพเสียงระดับสูง มีไดรเวอร์ขนาด 53 มม. ที่ออกแบบมาเพื่อการรับฟังเสียงที่ คมชัดและแม่นยำสูง (High-Fidelity Audio) เหมาะสำหรับการสื่อสารและใช้งานมัลติมีเดีย ระบบเสียงรอบทิศทาง รองรับเทคโนโลยี DTS Headphone:X Spatial  Audio ช่วยเพิ่มมิติเสียงในการระบุทิศทางได้แม่นยำ ไมค์ขนาด 10 มม. ให้เสียงพูด    ที่ชัดเจน พร้อมระบบตัดเสียงรบกวนรอบข้าง และมีไฟ LED แจ้งเตือนสถานะ        การปิดเสียง (Mute) เพื่อป้องกันความผิดพลาดขณะสื่อสาร โครงสร้างทำจาก       อลูมิเนียม แข็งแรงทนทานต่อการใช้งานหนัก ช่วยให้สวมใส่ทำงานได้ต่อเนื่อง      ยาวนานโดยไม่เจ็บหูการเชื่อมต่อแบบ รองรับการเชื่อมต่อที่หลากหลาย ทั้งแบบแจ็ค 3.5 มม., USB-C และ USB-A</t>
  </si>
  <si>
    <t>อุปกรณ์แปลงสัญญาณภาพ Type-C to HDMI 7044 ugreen</t>
  </si>
  <si>
    <t>Flash Drive เก็บข้อมูล ขนาด 64 GB Apecer</t>
  </si>
  <si>
    <t>Flash Drive เก็บข้อมูล ขนาด 32 GB Apecer</t>
  </si>
  <si>
    <t>รายละเอียดแนบท้ายบันทึกข้อความ</t>
  </si>
  <si>
    <t>นักจัดการงานทั่วไปปฏิบัติการ</t>
  </si>
  <si>
    <t>สถิติ 5/วิเคราะห์ 1/บริหาร 1</t>
  </si>
  <si>
    <t>Eth01-evo โมดูลอีเธอร์เน็ต ESP32-C3 3 in 1 WT32-ETH01 อุปกรณ์เชื่อมต่อ       อินเทอร์เน็ตแบบ 3 ระบบ (สายแลน, WiFi, Bluetooth)</t>
  </si>
  <si>
    <t>บัดกรีฟลักซ์ NC-559 10cc ASM UV คุณภาพสูง สําหรับซ่อมแซมแผงวงจร              อเนกประสงค์</t>
  </si>
  <si>
    <t xml:space="preserve">สายแปลงสัญญาณ USB เป็น RS422/RS485 Serial Port Converter Adapter       Cable </t>
  </si>
  <si>
    <t xml:space="preserve">สายเชื่อมต่อพิเศษสำหรับตั้งค่าอุปกรณ์เครือข่าย ความยาว 1.5 เมตร USB M to        RJ45 M Console Cable </t>
  </si>
  <si>
    <t>JT-COM 25G SFP DAC สาย Passive Direct Connect SFP28 ถึง SFP28             สายรับ-ส่งข้อมูลความเร็วสูงสำหรับเชื่อมต่ออุปกรณ์เครือข่าย ความยาว 4 เมตร</t>
  </si>
  <si>
    <t>STOPPER สต๊อปเปอร์รางปีกนก สต๊อปเปอร์รางรีเลย์ รางสีทอง ตัวกั้นล็อกอุปกรณ์       บนรางเหล็ก</t>
  </si>
  <si>
    <t xml:space="preserve">                                                                  </t>
  </si>
  <si>
    <t xml:space="preserve">                                                             </t>
  </si>
  <si>
    <t xml:space="preserve">   (นางภัทรวรรณ  ห้วยตะคุ)</t>
  </si>
  <si>
    <t>จัดซื้อวัสดุคอมพิวเตอร์ จำนวน 49 รายการ</t>
  </si>
  <si>
    <t>หมึกพิมพ์ HP 230a สีดำ</t>
  </si>
  <si>
    <t>หมึกพิมพ์ HP 230a สีฟ้า</t>
  </si>
  <si>
    <t>หมึกพิมพ์ HP 230a สีเหลือง</t>
  </si>
  <si>
    <t>หมึกพิมพ์ HP 230a สีชมพู</t>
  </si>
  <si>
    <t>กล่อง</t>
  </si>
  <si>
    <t>(สองแสนสี่หมื่นห้าพันสิบบาทถ้วน)</t>
  </si>
  <si>
    <t>HP 230A สีฟ้า ให้สีสดใส คมชัด เหมาะสำหรับเอกสารและกราฟิก รองรับ      เครื่องพิมพ์ HP Color LaserJet Pro 4201-4203 และ MFP 4301-4303 ซีรีส์ ปริมาณการพิมพ์ 5% บนกระดาษขนาด A4 ปริ้นเอกสารได้ 1,800 หน้า ใช้งานง่ายและคุ้มค่า</t>
  </si>
  <si>
    <t>HP 230A สีเหลือง ให้สีสดใส คมชัด เหมาะสำหรับเอกสารและกราฟิก รองรับ   เครื่องพิมพ์ HP Color LaserJet Pro 4201-4203 และ MFP 4301-4303 ซีรีส์ ปริมาณปริมาณการพิมพ์ 5% บนกระดาษขนาด A4 ปริ้นเอกสารได้ 1,800 หน้า        ใช้งานง่ายและคุ้มค่า</t>
  </si>
  <si>
    <t>HP 230A สีชมพู ให้สีสดใส คมชัด เหมาะสำหรับเอกสารและกราฟิก รองรับ    เครื่องพิมพ์ HP Color LaserJet Pro 4201-4203 และ MFP 4301-4303 ซีรีส์ ปริมาณปริมาณการพิมพ์ 5% บนกระดาษขนาด A4 ปริ้นเอกสารได้ 1,800 หน้า        ใช้งานง่ายและคุ้มค่า</t>
  </si>
  <si>
    <t>HP 230A หมึกเลเซอร์สีดำ ให้คุณภาพงานพิมพ์คมชัด เหมาะสำหรับเอกสารทั่วไปและงานธุรกิจ รองรับเครื่องพิมพ์ HP Color LaserJet Pro 4201-4203 และMFP 4301-4303 ซีรีส์ ปริมาณการพิมพ์ 5% บนกระดาษขนาด A4 ปริ้นเอกสารได้      2,000 แผ่น ใช้งานง่าย คุ้มค่า</t>
  </si>
  <si>
    <t>การกำหนดคุณลักษณะเฉพาะของพัสดุ</t>
  </si>
  <si>
    <t>แบตเตอรี่ NP-F970 NP-F960 สำหรับอุปกรณ์ HDMI  ไร้สาย</t>
  </si>
  <si>
    <t>แหล่งที่มาของราคากลาง                   โดยการสืบราคาจากท้องตลาด</t>
  </si>
  <si>
    <t xml:space="preserve">                                            ลงชื่อ..............................................ประธานกรรมการ</t>
  </si>
  <si>
    <t>ลงชื่อ...............................................กรรมการ                          ลงชื่อ...............................................กรรมการ</t>
  </si>
  <si>
    <t xml:space="preserve">       (นางภัทรวรรณ  ห้วยตะคุ)                                              (นางณรรฐวรรณ  สีดาบุตร)                                                        </t>
  </si>
  <si>
    <t xml:space="preserve">                                                   (นางสาวปารวี  วัฒนการกิจ)</t>
  </si>
  <si>
    <t xml:space="preserve">                                                   หัวหน้าฝ่ายบริหารงานทั่วไป</t>
  </si>
  <si>
    <t xml:space="preserve">     นักจัดการงานทั่วไปปฏิบัติการ                                          เจ้าพนักงานธุรการชำนาญงาน                          </t>
  </si>
  <si>
    <t>กำหนดส่งมอบ                  ภายใน  45  วัน  นับถัดจากวันลงนามในสัญญา</t>
  </si>
  <si>
    <t>(นายเอกรินทร์  วีระวัฒน์)</t>
  </si>
  <si>
    <t>กรรมการผู้จัดการ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</si>
</sst>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b/>
      <sz val="14"/>
      <color rgb="FFFF0000"/>
      <name val="TH SarabunPSK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4"/>
      <name val="Cordia New"/>
      <family val="2"/>
    </font>
    <font>
      <sz val="11"/>
      <color indexed="8"/>
      <name val="Calibri"/>
      <family val="2"/>
      <charset val="222"/>
    </font>
    <font>
      <sz val="10"/>
      <name val="Helv"/>
      <family val="2"/>
    </font>
    <font>
      <u/>
      <sz val="11"/>
      <color theme="10"/>
      <name val="Calibri"/>
      <family val="2"/>
      <charset val="222"/>
      <scheme val="minor"/>
    </font>
    <font>
      <u/>
      <sz val="14"/>
      <color theme="10"/>
      <name val="TH SarabunPSK"/>
      <family val="2"/>
    </font>
    <font>
      <b/>
      <sz val="12"/>
      <color rgb="FF000000"/>
      <name val="TH SarabunPSK"/>
      <family val="2"/>
    </font>
    <font>
      <sz val="12"/>
      <color rgb="FF000000"/>
      <name val="TH SarabunPSK"/>
      <family val="2"/>
    </font>
    <font>
      <sz val="12"/>
      <color theme="1"/>
      <name val="TH SarabunPSK"/>
      <family val="2"/>
    </font>
    <font>
      <sz val="14"/>
      <color rgb="FFFF0000"/>
      <name val="TH SarabunPSK"/>
      <family val="2"/>
    </font>
    <font>
      <sz val="12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3" fillId="2" borderId="0" applyNumberFormat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6" fillId="0" borderId="0"/>
    <xf numFmtId="43" fontId="12" fillId="0" borderId="0" applyFill="0" applyBorder="0" applyAlignment="0" applyProtection="0"/>
    <xf numFmtId="0" fontId="17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164" fontId="2" fillId="0" borderId="0" xfId="1" applyNumberFormat="1" applyFont="1" applyBorder="1" applyAlignment="1">
      <alignment horizontal="left"/>
    </xf>
    <xf numFmtId="43" fontId="2" fillId="0" borderId="0" xfId="1" applyFont="1"/>
    <xf numFmtId="0" fontId="2" fillId="0" borderId="0" xfId="0" applyFont="1" applyAlignment="1">
      <alignment vertical="top"/>
    </xf>
    <xf numFmtId="165" fontId="2" fillId="0" borderId="0" xfId="1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165" fontId="9" fillId="0" borderId="0" xfId="2" applyNumberFormat="1" applyFont="1" applyBorder="1" applyAlignment="1">
      <alignment horizontal="right" vertical="top" wrapText="1"/>
    </xf>
    <xf numFmtId="165" fontId="9" fillId="0" borderId="0" xfId="2" applyNumberFormat="1" applyFont="1" applyBorder="1" applyAlignment="1">
      <alignment vertical="top" wrapText="1"/>
    </xf>
    <xf numFmtId="43" fontId="9" fillId="0" borderId="0" xfId="1" applyFont="1" applyBorder="1" applyAlignment="1">
      <alignment horizontal="right" vertical="top" wrapText="1"/>
    </xf>
    <xf numFmtId="43" fontId="9" fillId="0" borderId="0" xfId="1" applyFont="1" applyBorder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9" fillId="0" borderId="3" xfId="0" applyFont="1" applyBorder="1" applyAlignment="1">
      <alignment horizontal="left" vertical="top" wrapText="1"/>
    </xf>
    <xf numFmtId="0" fontId="9" fillId="0" borderId="0" xfId="0" applyFont="1" applyAlignment="1">
      <alignment wrapText="1"/>
    </xf>
    <xf numFmtId="165" fontId="9" fillId="0" borderId="0" xfId="1" applyNumberFormat="1" applyFont="1" applyBorder="1" applyAlignment="1">
      <alignment horizontal="right" wrapText="1"/>
    </xf>
    <xf numFmtId="164" fontId="9" fillId="0" borderId="0" xfId="1" applyNumberFormat="1" applyFont="1" applyBorder="1" applyAlignment="1">
      <alignment horizontal="left" wrapText="1"/>
    </xf>
    <xf numFmtId="2" fontId="9" fillId="0" borderId="0" xfId="0" applyNumberFormat="1" applyFont="1" applyAlignment="1">
      <alignment horizontal="right" wrapText="1"/>
    </xf>
    <xf numFmtId="165" fontId="9" fillId="0" borderId="0" xfId="1" applyNumberFormat="1" applyFont="1" applyBorder="1" applyAlignment="1">
      <alignment horizontal="right"/>
    </xf>
    <xf numFmtId="164" fontId="9" fillId="0" borderId="0" xfId="1" applyNumberFormat="1" applyFont="1" applyBorder="1" applyAlignment="1">
      <alignment horizontal="left"/>
    </xf>
    <xf numFmtId="49" fontId="9" fillId="0" borderId="0" xfId="1" applyNumberFormat="1" applyFont="1" applyBorder="1" applyAlignment="1">
      <alignment horizontal="left"/>
    </xf>
    <xf numFmtId="165" fontId="8" fillId="0" borderId="0" xfId="1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top"/>
    </xf>
    <xf numFmtId="165" fontId="8" fillId="0" borderId="0" xfId="1" applyNumberFormat="1" applyFont="1" applyBorder="1" applyAlignment="1">
      <alignment horizontal="right" wrapText="1"/>
    </xf>
    <xf numFmtId="164" fontId="8" fillId="0" borderId="0" xfId="1" applyNumberFormat="1" applyFont="1" applyBorder="1" applyAlignment="1">
      <alignment horizontal="left" wrapText="1"/>
    </xf>
    <xf numFmtId="2" fontId="8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center" vertical="top" wrapText="1"/>
    </xf>
    <xf numFmtId="43" fontId="2" fillId="0" borderId="0" xfId="1" applyFont="1" applyAlignment="1"/>
    <xf numFmtId="0" fontId="2" fillId="0" borderId="0" xfId="1" applyNumberFormat="1" applyFont="1" applyAlignment="1"/>
    <xf numFmtId="0" fontId="9" fillId="0" borderId="0" xfId="0" applyFont="1" applyAlignment="1">
      <alignment horizontal="left" vertical="top" wrapText="1"/>
    </xf>
    <xf numFmtId="165" fontId="7" fillId="0" borderId="6" xfId="2" applyNumberFormat="1" applyFont="1" applyBorder="1" applyAlignment="1" applyProtection="1">
      <alignment horizontal="right" vertical="top" wrapText="1"/>
    </xf>
    <xf numFmtId="165" fontId="7" fillId="0" borderId="7" xfId="2" applyNumberFormat="1" applyFont="1" applyBorder="1" applyAlignment="1" applyProtection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7" fillId="0" borderId="6" xfId="15" applyNumberFormat="1" applyFont="1" applyBorder="1" applyAlignment="1">
      <alignment vertical="top" wrapText="1"/>
    </xf>
    <xf numFmtId="164" fontId="7" fillId="0" borderId="7" xfId="15" applyNumberFormat="1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43" fontId="7" fillId="0" borderId="1" xfId="15" applyFont="1" applyBorder="1" applyAlignment="1">
      <alignment horizontal="right" vertical="top" wrapText="1"/>
    </xf>
    <xf numFmtId="43" fontId="7" fillId="0" borderId="0" xfId="15" applyFont="1" applyBorder="1" applyAlignment="1">
      <alignment horizontal="right" vertical="top" wrapText="1"/>
    </xf>
    <xf numFmtId="43" fontId="20" fillId="0" borderId="1" xfId="15" applyFont="1" applyBorder="1" applyAlignment="1">
      <alignment horizontal="left" vertical="top" wrapText="1"/>
    </xf>
    <xf numFmtId="0" fontId="21" fillId="0" borderId="0" xfId="0" applyFont="1"/>
    <xf numFmtId="43" fontId="20" fillId="0" borderId="1" xfId="15" applyFont="1" applyBorder="1" applyAlignment="1">
      <alignment horizontal="right" vertical="top" wrapText="1"/>
    </xf>
    <xf numFmtId="0" fontId="21" fillId="0" borderId="1" xfId="0" applyFont="1" applyBorder="1" applyAlignment="1">
      <alignment vertical="top"/>
    </xf>
    <xf numFmtId="43" fontId="7" fillId="0" borderId="0" xfId="15" applyFont="1" applyBorder="1" applyAlignment="1">
      <alignment horizontal="center" vertical="top" wrapText="1"/>
    </xf>
    <xf numFmtId="0" fontId="22" fillId="0" borderId="0" xfId="0" applyFont="1"/>
    <xf numFmtId="0" fontId="21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2" fillId="0" borderId="0" xfId="0" applyFont="1" applyAlignment="1">
      <alignment horizontal="left" vertical="top"/>
    </xf>
    <xf numFmtId="4" fontId="6" fillId="0" borderId="0" xfId="15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7" fillId="0" borderId="1" xfId="15" applyFont="1" applyFill="1" applyBorder="1" applyAlignment="1">
      <alignment horizontal="right" vertical="top" wrapText="1"/>
    </xf>
    <xf numFmtId="0" fontId="9" fillId="0" borderId="6" xfId="15" applyNumberFormat="1" applyFont="1" applyBorder="1" applyAlignment="1">
      <alignment vertical="top" wrapText="1"/>
    </xf>
    <xf numFmtId="164" fontId="9" fillId="0" borderId="7" xfId="15" applyNumberFormat="1" applyFont="1" applyBorder="1" applyAlignment="1">
      <alignment horizontal="left" vertical="top" wrapText="1"/>
    </xf>
    <xf numFmtId="43" fontId="9" fillId="0" borderId="1" xfId="15" applyFont="1" applyBorder="1" applyAlignment="1">
      <alignment horizontal="right" vertical="top" wrapText="1"/>
    </xf>
    <xf numFmtId="43" fontId="22" fillId="0" borderId="0" xfId="15" applyFont="1" applyBorder="1" applyAlignment="1">
      <alignment horizontal="left" vertical="top" wrapText="1"/>
    </xf>
    <xf numFmtId="43" fontId="3" fillId="0" borderId="1" xfId="15" applyFont="1" applyBorder="1" applyAlignment="1">
      <alignment horizontal="right" vertical="top" wrapText="1"/>
    </xf>
    <xf numFmtId="43" fontId="18" fillId="0" borderId="0" xfId="16" applyNumberFormat="1" applyFont="1" applyBorder="1" applyAlignment="1">
      <alignment horizontal="center" vertical="top" wrapText="1"/>
    </xf>
    <xf numFmtId="0" fontId="20" fillId="0" borderId="1" xfId="15" applyNumberFormat="1" applyFont="1" applyBorder="1" applyAlignment="1">
      <alignment horizontal="left" vertical="top" wrapText="1"/>
    </xf>
    <xf numFmtId="0" fontId="6" fillId="0" borderId="6" xfId="15" applyNumberFormat="1" applyFont="1" applyBorder="1" applyAlignment="1">
      <alignment vertical="top" wrapText="1"/>
    </xf>
    <xf numFmtId="0" fontId="6" fillId="0" borderId="7" xfId="15" applyNumberFormat="1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15" applyNumberFormat="1" applyFont="1" applyBorder="1" applyAlignment="1">
      <alignment vertical="top" wrapText="1"/>
    </xf>
    <xf numFmtId="164" fontId="7" fillId="0" borderId="0" xfId="15" applyNumberFormat="1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6" xfId="2" applyNumberFormat="1" applyFont="1" applyBorder="1" applyAlignment="1" applyProtection="1">
      <alignment horizontal="right" vertical="center" wrapText="1"/>
    </xf>
    <xf numFmtId="165" fontId="7" fillId="0" borderId="7" xfId="2" applyNumberFormat="1" applyFont="1" applyBorder="1" applyAlignment="1" applyProtection="1">
      <alignment vertical="center" wrapText="1"/>
    </xf>
    <xf numFmtId="43" fontId="7" fillId="0" borderId="1" xfId="15" applyFont="1" applyBorder="1" applyAlignment="1">
      <alignment horizontal="right" vertical="center" wrapText="1"/>
    </xf>
    <xf numFmtId="43" fontId="20" fillId="0" borderId="1" xfId="15" applyFont="1" applyBorder="1" applyAlignment="1">
      <alignment horizontal="left" vertical="center" wrapText="1"/>
    </xf>
    <xf numFmtId="43" fontId="7" fillId="0" borderId="0" xfId="15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43" fontId="7" fillId="0" borderId="1" xfId="15" applyFont="1" applyFill="1" applyBorder="1" applyAlignment="1">
      <alignment horizontal="right" vertical="center" wrapText="1"/>
    </xf>
    <xf numFmtId="0" fontId="7" fillId="0" borderId="6" xfId="15" applyNumberFormat="1" applyFont="1" applyBorder="1" applyAlignment="1">
      <alignment vertical="center" wrapText="1"/>
    </xf>
    <xf numFmtId="164" fontId="7" fillId="0" borderId="7" xfId="15" applyNumberFormat="1" applyFont="1" applyBorder="1" applyAlignment="1">
      <alignment horizontal="left" vertical="center" wrapText="1"/>
    </xf>
    <xf numFmtId="43" fontId="18" fillId="0" borderId="0" xfId="16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9" fillId="0" borderId="6" xfId="15" applyNumberFormat="1" applyFont="1" applyBorder="1" applyAlignment="1">
      <alignment vertical="center" wrapText="1"/>
    </xf>
    <xf numFmtId="164" fontId="9" fillId="0" borderId="7" xfId="15" applyNumberFormat="1" applyFont="1" applyBorder="1" applyAlignment="1">
      <alignment horizontal="left" vertical="center" wrapText="1"/>
    </xf>
    <xf numFmtId="43" fontId="9" fillId="0" borderId="1" xfId="15" applyFont="1" applyBorder="1" applyAlignment="1">
      <alignment horizontal="right" vertical="center" wrapText="1"/>
    </xf>
    <xf numFmtId="0" fontId="23" fillId="0" borderId="1" xfId="0" applyFont="1" applyBorder="1" applyAlignment="1">
      <alignment vertical="center"/>
    </xf>
    <xf numFmtId="43" fontId="22" fillId="0" borderId="0" xfId="15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43" fontId="7" fillId="0" borderId="0" xfId="15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43" fontId="20" fillId="0" borderId="1" xfId="15" applyFont="1" applyBorder="1" applyAlignment="1">
      <alignment horizontal="right" vertical="center" wrapText="1"/>
    </xf>
    <xf numFmtId="43" fontId="6" fillId="0" borderId="1" xfId="15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165" fontId="2" fillId="0" borderId="0" xfId="1" applyNumberFormat="1" applyFont="1" applyBorder="1" applyAlignment="1">
      <alignment horizontal="left"/>
    </xf>
    <xf numFmtId="0" fontId="22" fillId="0" borderId="0" xfId="0" applyFont="1" applyAlignment="1">
      <alignment vertical="top"/>
    </xf>
    <xf numFmtId="43" fontId="7" fillId="0" borderId="7" xfId="15" applyFont="1" applyBorder="1" applyAlignment="1">
      <alignment horizontal="right" vertical="top" wrapText="1"/>
    </xf>
    <xf numFmtId="165" fontId="10" fillId="0" borderId="6" xfId="1" applyNumberFormat="1" applyFont="1" applyBorder="1" applyAlignment="1">
      <alignment horizontal="center" vertical="center" wrapText="1"/>
    </xf>
    <xf numFmtId="165" fontId="10" fillId="0" borderId="12" xfId="1" applyNumberFormat="1" applyFont="1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6" fillId="0" borderId="9" xfId="15" applyNumberFormat="1" applyFont="1" applyFill="1" applyBorder="1" applyAlignment="1">
      <alignment horizontal="center" vertical="center" wrapText="1"/>
    </xf>
    <xf numFmtId="164" fontId="6" fillId="0" borderId="10" xfId="15" applyNumberFormat="1" applyFont="1" applyFill="1" applyBorder="1" applyAlignment="1">
      <alignment horizontal="center" vertical="center" wrapText="1"/>
    </xf>
    <xf numFmtId="164" fontId="6" fillId="0" borderId="4" xfId="15" applyNumberFormat="1" applyFont="1" applyFill="1" applyBorder="1" applyAlignment="1">
      <alignment horizontal="center" vertical="center" wrapText="1"/>
    </xf>
    <xf numFmtId="164" fontId="6" fillId="0" borderId="5" xfId="15" applyNumberFormat="1" applyFont="1" applyFill="1" applyBorder="1" applyAlignment="1">
      <alignment horizontal="center" vertical="center" wrapText="1"/>
    </xf>
    <xf numFmtId="43" fontId="6" fillId="0" borderId="2" xfId="15" applyFont="1" applyFill="1" applyBorder="1" applyAlignment="1">
      <alignment horizontal="center" vertical="center" wrapText="1"/>
    </xf>
    <xf numFmtId="43" fontId="6" fillId="0" borderId="3" xfId="15" applyFont="1" applyFill="1" applyBorder="1" applyAlignment="1">
      <alignment horizontal="center" vertical="center" wrapText="1"/>
    </xf>
    <xf numFmtId="4" fontId="6" fillId="0" borderId="2" xfId="15" applyNumberFormat="1" applyFont="1" applyFill="1" applyBorder="1" applyAlignment="1">
      <alignment horizontal="center" vertical="center" wrapText="1"/>
    </xf>
    <xf numFmtId="4" fontId="6" fillId="0" borderId="3" xfId="15" applyNumberFormat="1" applyFont="1" applyFill="1" applyBorder="1" applyAlignment="1">
      <alignment horizontal="center" vertical="center" wrapText="1"/>
    </xf>
    <xf numFmtId="4" fontId="19" fillId="0" borderId="2" xfId="15" applyNumberFormat="1" applyFont="1" applyFill="1" applyBorder="1" applyAlignment="1">
      <alignment horizontal="center" vertical="center" wrapText="1"/>
    </xf>
    <xf numFmtId="4" fontId="19" fillId="0" borderId="3" xfId="15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0" fillId="0" borderId="9" xfId="1" applyNumberFormat="1" applyFont="1" applyFill="1" applyBorder="1" applyAlignment="1">
      <alignment horizontal="center" vertical="center" wrapText="1"/>
    </xf>
    <xf numFmtId="164" fontId="10" fillId="0" borderId="10" xfId="1" applyNumberFormat="1" applyFont="1" applyFill="1" applyBorder="1" applyAlignment="1">
      <alignment horizontal="center" vertical="center" wrapText="1"/>
    </xf>
    <xf numFmtId="164" fontId="10" fillId="0" borderId="4" xfId="1" applyNumberFormat="1" applyFont="1" applyFill="1" applyBorder="1" applyAlignment="1">
      <alignment horizontal="center" vertical="center" wrapText="1"/>
    </xf>
    <xf numFmtId="164" fontId="10" fillId="0" borderId="5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8" fillId="0" borderId="0" xfId="0" applyFont="1" applyAlignment="1">
      <alignment horizontal="center" wrapText="1"/>
    </xf>
  </cellXfs>
  <cellStyles count="17">
    <cellStyle name="3232" xfId="6" xr:uid="{5BB8EF0E-B3D1-439D-B091-0E87643A1590}"/>
    <cellStyle name="Accent1 2" xfId="7" xr:uid="{5B263369-E8C6-4669-B7D4-6D17387E16BE}"/>
    <cellStyle name="Comma 2" xfId="8" xr:uid="{17B47E96-F760-4D85-90B4-BB92C43BA7B2}"/>
    <cellStyle name="Hyperlink" xfId="16" builtinId="8"/>
    <cellStyle name="Normal 14 2" xfId="9" xr:uid="{E0B60CCB-B400-4642-97E7-E62FF97465C6}"/>
    <cellStyle name="Normal 17" xfId="10" xr:uid="{5C70A054-4342-4281-B90C-2FC2F2C505A2}"/>
    <cellStyle name="Normal 18" xfId="11" xr:uid="{4C664F0D-679A-4DF4-83A4-8E03948018AA}"/>
    <cellStyle name="Normal_(ITD Master File) xxx  P4-2.4  xset 00.00.03" xfId="12" xr:uid="{5233CCA9-1B6B-4464-BCA7-CB4CAE9C6A6A}"/>
    <cellStyle name="Style 1" xfId="13" xr:uid="{81D6C6CF-52B7-4569-A825-5069BC3B25B4}"/>
    <cellStyle name="Style 1 2" xfId="14" xr:uid="{2F2D6DEA-9FEA-423F-9D91-981B1F8974D5}"/>
    <cellStyle name="เครื่องหมายจุลภาค 2" xfId="2" xr:uid="{00000000-0005-0000-0000-000001000000}"/>
    <cellStyle name="เครื่องหมายจุลภาค 2 2" xfId="4" xr:uid="{801E2118-B8C6-40CD-9173-419B63E1E029}"/>
    <cellStyle name="เครื่องหมายจุลภาค 3" xfId="15" xr:uid="{A197C9EB-10C8-4075-AC11-05CF01687E06}"/>
    <cellStyle name="จุลภาค" xfId="1" builtinId="3"/>
    <cellStyle name="จุลภาค 2" xfId="3" xr:uid="{E859DCBC-6E41-4D59-89BA-F4C6E7E8AE90}"/>
    <cellStyle name="ปกติ" xfId="0" builtinId="0"/>
    <cellStyle name="ปกติ 6" xfId="5" xr:uid="{53EA2ADB-1C72-4BAC-A697-20C5746FF7BD}"/>
  </cellStyles>
  <dxfs count="0"/>
  <tableStyles count="0" defaultTableStyle="TableStyleMedium9" defaultPivotStyle="PivotStyleLight16"/>
  <colors>
    <mruColors>
      <color rgb="FFFF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th/product/361518092/7875445393" TargetMode="External"/><Relationship Id="rId13" Type="http://schemas.openxmlformats.org/officeDocument/2006/relationships/hyperlink" Target="https://shopee.co.th/STOPPER-10&#3605;&#3633;&#3623;-&#3649;&#3614;&#3658;&#3588;-&#3626;&#3605;&#3658;&#3629;&#3611;&#3648;&#3611;&#3629;&#3619;&#3660;&#3619;&#3634;&#3591;&#3611;&#3637;&#3585;&#3609;&#3585;-&#3626;&#3605;&#3658;&#3629;&#3611;&#3648;&#3611;&#3629;&#3619;&#3660;&#3619;&#3634;&#3591;&#3619;&#3637;&#3648;&#3621;&#3618;&#3660;-&#3619;&#3634;&#3591;-DIN-Rail-&#3626;&#3637;&#3607;&#3629;&#3591;-i.29111487.25066118672" TargetMode="External"/><Relationship Id="rId18" Type="http://schemas.openxmlformats.org/officeDocument/2006/relationships/hyperlink" Target="https://www.advice.co.th/product/&#3585;&#3621;&#3657;&#3629;&#3591;&#3652;&#3619;&#3657;&#3626;&#3634;&#3618;-smart-camera/imou/&#3585;&#3621;&#3657;&#3629;&#3591;&#3652;&#3619;&#3657;&#3626;&#3634;&#3618;-smart-camera-3-0mp-imou-cue2-c32ep" TargetMode="External"/><Relationship Id="rId3" Type="http://schemas.openxmlformats.org/officeDocument/2006/relationships/hyperlink" Target="https://shopee.co.th/INEX-Raspberry-Pi-4-&#8211;-4GB-RAM-8GB-RAM-i.243707191.23949581700" TargetMode="External"/><Relationship Id="rId7" Type="http://schemas.openxmlformats.org/officeDocument/2006/relationships/hyperlink" Target="https://shopee.co.th/product/591640521/41203701136" TargetMode="External"/><Relationship Id="rId12" Type="http://schemas.openxmlformats.org/officeDocument/2006/relationships/hyperlink" Target="https://shopee.co.th/&#3619;&#3634;&#3591;&#3611;&#3637;&#3585;&#3609;&#3585;-&#3619;&#3634;&#3591;&#3619;&#3637;&#3648;&#3621;&#3618;&#3660;-10-20-30-50cm-&#3619;&#3634;&#3591;&#3648;&#3610;&#3619;&#3585;&#3648;&#3585;&#3629;&#3619;&#3660;-&#3619;&#3634;&#3591;&#3648;&#3627;&#3621;&#3655;&#3585;-Din-rail-&#3626;&#3636;&#3609;&#3588;&#3657;&#3634;&#3614;&#3619;&#3657;&#3629;&#3617;&#3626;&#3656;&#3591;&#3592;&#3634;&#3585;&#3652;&#3607;&#3618;-i.322401763.23358961670" TargetMode="External"/><Relationship Id="rId17" Type="http://schemas.openxmlformats.org/officeDocument/2006/relationships/hyperlink" Target="https://www.lazada.co.th/products/gootbs-2-i3804222414.html" TargetMode="External"/><Relationship Id="rId2" Type="http://schemas.openxmlformats.org/officeDocument/2006/relationships/hyperlink" Target="https://shopee.co.th/product/1268109254/43455298311" TargetMode="External"/><Relationship Id="rId16" Type="http://schemas.openxmlformats.org/officeDocument/2006/relationships/hyperlink" Target="https://shopee.co.th/product/533382537/17996692257" TargetMode="External"/><Relationship Id="rId1" Type="http://schemas.openxmlformats.org/officeDocument/2006/relationships/hyperlink" Target="https://shopee.co.th/(&#3619;&#3640;&#3656;&#3609;&#3651;&#3627;&#3617;&#3656;)-&#3649;&#3610;&#3605;&#3648;&#3605;&#3629;&#3619;&#3637;&#3656;-NP-F970-NP-F960-&#3626;&#3635;&#3627;&#3619;&#3633;&#3610;-Sony-F970-F960-F950-F770-F750-F330-F550-F570-&#3652;&#3615;-LED-YN-300-YN-600-MC1500C-i.23715158.3436585228" TargetMode="External"/><Relationship Id="rId6" Type="http://schemas.openxmlformats.org/officeDocument/2006/relationships/hyperlink" Target="https://www.lazada.co.th/products/18650-i4502009941.html" TargetMode="External"/><Relationship Id="rId11" Type="http://schemas.openxmlformats.org/officeDocument/2006/relationships/hyperlink" Target="https://shopee.co.th/product/1016298352/25281797674" TargetMode="External"/><Relationship Id="rId5" Type="http://schemas.openxmlformats.org/officeDocument/2006/relationships/hyperlink" Target="https://shopee.co.th/&#3621;&#3623;&#3604;&#3595;&#3633;&#3610;&#3605;&#3632;&#3585;&#3633;&#3656;&#3623;-MIJING-AR-2020-AR-2015-&#3604;&#3641;&#3604;&#3595;&#3633;&#3610;&#3604;&#3637;&#3610;&#3640;&#3585;-&#3626;&#3635;&#3627;&#3619;&#3633;&#3610;&#3648;&#3594;&#3639;&#3656;&#3629;&#3617;&#3648;&#3617;&#3609;&#3610;&#3629;&#3619;&#3660;&#3604;&#3650;&#3607;&#3619;&#3624;&#3633;&#3614;&#3607;&#3660;&#3617;&#3639;&#3629;&#3606;&#3639;&#3629;-5-&#3594;&#3636;&#3657;&#3609;-i.1365075624.49505818068" TargetMode="External"/><Relationship Id="rId15" Type="http://schemas.openxmlformats.org/officeDocument/2006/relationships/hyperlink" Target="https://www.lazada.co.th/products/pcie-pci-e-pci-express-x1-to-pci-riser-card-bus-card-high-efficiency-adapter-converter-usb-30-cable-for-desktop-pc-i4728157237-s19499526683.html?from_gmc=1&amp;fl_tag=1" TargetMode="External"/><Relationship Id="rId10" Type="http://schemas.openxmlformats.org/officeDocument/2006/relationships/hyperlink" Target="https://shopee.co.th/product/1602634240/41022406417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shopee.co.th/product/313036196/22675591817" TargetMode="External"/><Relationship Id="rId9" Type="http://schemas.openxmlformats.org/officeDocument/2006/relationships/hyperlink" Target="https://shopee.co.th/product/1017874275/25345324247" TargetMode="External"/><Relationship Id="rId14" Type="http://schemas.openxmlformats.org/officeDocument/2006/relationships/hyperlink" Target="https://shopee.co.th/HETH-35-&#3617;&#3617;.U-&#3619;&#3641;&#3611;-DIN-Rail-Holder-Universal-Rail-Bule-Rail-Fix-Clamp-Fastener-&#3588;&#3621;&#3636;&#3611;-C45-&#3585;&#3634;&#3619;&#3605;&#3636;&#3604;&#3605;&#3633;&#3657;&#3591;&#3652;&#3615;&#3615;&#3657;&#3634;&#3607;&#3656;&#3629;&#3591;&#3648;&#3607;&#3637;&#3656;&#3618;&#3623;-Rail-Bule-HETH-i.1265239048.578566573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th/product/361518092/7875445393" TargetMode="External"/><Relationship Id="rId13" Type="http://schemas.openxmlformats.org/officeDocument/2006/relationships/hyperlink" Target="https://shopee.co.th/STOPPER-10&#3605;&#3633;&#3623;-&#3649;&#3614;&#3658;&#3588;-&#3626;&#3605;&#3658;&#3629;&#3611;&#3648;&#3611;&#3629;&#3619;&#3660;&#3619;&#3634;&#3591;&#3611;&#3637;&#3585;&#3609;&#3585;-&#3626;&#3605;&#3658;&#3629;&#3611;&#3648;&#3611;&#3629;&#3619;&#3660;&#3619;&#3634;&#3591;&#3619;&#3637;&#3648;&#3621;&#3618;&#3660;-&#3619;&#3634;&#3591;-DIN-Rail-&#3626;&#3637;&#3607;&#3629;&#3591;-i.29111487.25066118672" TargetMode="External"/><Relationship Id="rId18" Type="http://schemas.openxmlformats.org/officeDocument/2006/relationships/hyperlink" Target="https://www.advice.co.th/product/&#3585;&#3621;&#3657;&#3629;&#3591;&#3652;&#3619;&#3657;&#3626;&#3634;&#3618;-smart-camera/imou/&#3585;&#3621;&#3657;&#3629;&#3591;&#3652;&#3619;&#3657;&#3626;&#3634;&#3618;-smart-camera-3-0mp-imou-cue2-c32ep" TargetMode="External"/><Relationship Id="rId3" Type="http://schemas.openxmlformats.org/officeDocument/2006/relationships/hyperlink" Target="https://shopee.co.th/INEX-Raspberry-Pi-4-&#8211;-4GB-RAM-8GB-RAM-i.243707191.23949581700" TargetMode="External"/><Relationship Id="rId7" Type="http://schemas.openxmlformats.org/officeDocument/2006/relationships/hyperlink" Target="https://shopee.co.th/product/591640521/41203701136" TargetMode="External"/><Relationship Id="rId12" Type="http://schemas.openxmlformats.org/officeDocument/2006/relationships/hyperlink" Target="https://shopee.co.th/&#3619;&#3634;&#3591;&#3611;&#3637;&#3585;&#3609;&#3585;-&#3619;&#3634;&#3591;&#3619;&#3637;&#3648;&#3621;&#3618;&#3660;-10-20-30-50cm-&#3619;&#3634;&#3591;&#3648;&#3610;&#3619;&#3585;&#3648;&#3585;&#3629;&#3619;&#3660;-&#3619;&#3634;&#3591;&#3648;&#3627;&#3621;&#3655;&#3585;-Din-rail-&#3626;&#3636;&#3609;&#3588;&#3657;&#3634;&#3614;&#3619;&#3657;&#3629;&#3617;&#3626;&#3656;&#3591;&#3592;&#3634;&#3585;&#3652;&#3607;&#3618;-i.322401763.23358961670" TargetMode="External"/><Relationship Id="rId17" Type="http://schemas.openxmlformats.org/officeDocument/2006/relationships/hyperlink" Target="https://www.lazada.co.th/products/gootbs-2-i3804222414.html" TargetMode="External"/><Relationship Id="rId2" Type="http://schemas.openxmlformats.org/officeDocument/2006/relationships/hyperlink" Target="https://shopee.co.th/product/1268109254/43455298311" TargetMode="External"/><Relationship Id="rId16" Type="http://schemas.openxmlformats.org/officeDocument/2006/relationships/hyperlink" Target="https://shopee.co.th/product/533382537/17996692257" TargetMode="External"/><Relationship Id="rId1" Type="http://schemas.openxmlformats.org/officeDocument/2006/relationships/hyperlink" Target="https://shopee.co.th/(&#3619;&#3640;&#3656;&#3609;&#3651;&#3627;&#3617;&#3656;)-&#3649;&#3610;&#3605;&#3648;&#3605;&#3629;&#3619;&#3637;&#3656;-NP-F970-NP-F960-&#3626;&#3635;&#3627;&#3619;&#3633;&#3610;-Sony-F970-F960-F950-F770-F750-F330-F550-F570-&#3652;&#3615;-LED-YN-300-YN-600-MC1500C-i.23715158.3436585228" TargetMode="External"/><Relationship Id="rId6" Type="http://schemas.openxmlformats.org/officeDocument/2006/relationships/hyperlink" Target="https://www.lazada.co.th/products/18650-i4502009941.html" TargetMode="External"/><Relationship Id="rId11" Type="http://schemas.openxmlformats.org/officeDocument/2006/relationships/hyperlink" Target="https://shopee.co.th/product/1016298352/25281797674" TargetMode="External"/><Relationship Id="rId5" Type="http://schemas.openxmlformats.org/officeDocument/2006/relationships/hyperlink" Target="https://shopee.co.th/&#3621;&#3623;&#3604;&#3595;&#3633;&#3610;&#3605;&#3632;&#3585;&#3633;&#3656;&#3623;-MIJING-AR-2020-AR-2015-&#3604;&#3641;&#3604;&#3595;&#3633;&#3610;&#3604;&#3637;&#3610;&#3640;&#3585;-&#3626;&#3635;&#3627;&#3619;&#3633;&#3610;&#3648;&#3594;&#3639;&#3656;&#3629;&#3617;&#3648;&#3617;&#3609;&#3610;&#3629;&#3619;&#3660;&#3604;&#3650;&#3607;&#3619;&#3624;&#3633;&#3614;&#3607;&#3660;&#3617;&#3639;&#3629;&#3606;&#3639;&#3629;-5-&#3594;&#3636;&#3657;&#3609;-i.1365075624.49505818068" TargetMode="External"/><Relationship Id="rId15" Type="http://schemas.openxmlformats.org/officeDocument/2006/relationships/hyperlink" Target="https://www.lazada.co.th/products/pcie-pci-e-pci-express-x1-to-pci-riser-card-bus-card-high-efficiency-adapter-converter-usb-30-cable-for-desktop-pc-i4728157237-s19499526683.html?from_gmc=1&amp;fl_tag=1" TargetMode="External"/><Relationship Id="rId10" Type="http://schemas.openxmlformats.org/officeDocument/2006/relationships/hyperlink" Target="https://shopee.co.th/product/1602634240/41022406417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https://shopee.co.th/product/313036196/22675591817" TargetMode="External"/><Relationship Id="rId9" Type="http://schemas.openxmlformats.org/officeDocument/2006/relationships/hyperlink" Target="https://shopee.co.th/product/1017874275/25345324247" TargetMode="External"/><Relationship Id="rId14" Type="http://schemas.openxmlformats.org/officeDocument/2006/relationships/hyperlink" Target="https://shopee.co.th/HETH-35-&#3617;&#3617;.U-&#3619;&#3641;&#3611;-DIN-Rail-Holder-Universal-Rail-Bule-Rail-Fix-Clamp-Fastener-&#3588;&#3621;&#3636;&#3611;-C45-&#3585;&#3634;&#3619;&#3605;&#3636;&#3604;&#3605;&#3633;&#3657;&#3591;&#3652;&#3615;&#3615;&#3657;&#3634;&#3607;&#3656;&#3629;&#3591;&#3648;&#3607;&#3637;&#3656;&#3618;&#3623;-Rail-Bule-HETH-i.1265239048.5785665739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th/product/361518092/7875445393" TargetMode="External"/><Relationship Id="rId13" Type="http://schemas.openxmlformats.org/officeDocument/2006/relationships/hyperlink" Target="https://shopee.co.th/STOPPER-10&#3605;&#3633;&#3623;-&#3649;&#3614;&#3658;&#3588;-&#3626;&#3605;&#3658;&#3629;&#3611;&#3648;&#3611;&#3629;&#3619;&#3660;&#3619;&#3634;&#3591;&#3611;&#3637;&#3585;&#3609;&#3585;-&#3626;&#3605;&#3658;&#3629;&#3611;&#3648;&#3611;&#3629;&#3619;&#3660;&#3619;&#3634;&#3591;&#3619;&#3637;&#3648;&#3621;&#3618;&#3660;-&#3619;&#3634;&#3591;-DIN-Rail-&#3626;&#3637;&#3607;&#3629;&#3591;-i.29111487.25066118672" TargetMode="External"/><Relationship Id="rId18" Type="http://schemas.openxmlformats.org/officeDocument/2006/relationships/hyperlink" Target="https://www.advice.co.th/product/&#3585;&#3621;&#3657;&#3629;&#3591;&#3652;&#3619;&#3657;&#3626;&#3634;&#3618;-smart-camera/imou/&#3585;&#3621;&#3657;&#3629;&#3591;&#3652;&#3619;&#3657;&#3626;&#3634;&#3618;-smart-camera-3-0mp-imou-cue2-c32ep" TargetMode="External"/><Relationship Id="rId3" Type="http://schemas.openxmlformats.org/officeDocument/2006/relationships/hyperlink" Target="https://shopee.co.th/INEX-Raspberry-Pi-4-&#8211;-4GB-RAM-8GB-RAM-i.243707191.23949581700" TargetMode="External"/><Relationship Id="rId7" Type="http://schemas.openxmlformats.org/officeDocument/2006/relationships/hyperlink" Target="https://shopee.co.th/product/591640521/41203701136" TargetMode="External"/><Relationship Id="rId12" Type="http://schemas.openxmlformats.org/officeDocument/2006/relationships/hyperlink" Target="https://shopee.co.th/&#3619;&#3634;&#3591;&#3611;&#3637;&#3585;&#3609;&#3585;-&#3619;&#3634;&#3591;&#3619;&#3637;&#3648;&#3621;&#3618;&#3660;-10-20-30-50cm-&#3619;&#3634;&#3591;&#3648;&#3610;&#3619;&#3585;&#3648;&#3585;&#3629;&#3619;&#3660;-&#3619;&#3634;&#3591;&#3648;&#3627;&#3621;&#3655;&#3585;-Din-rail-&#3626;&#3636;&#3609;&#3588;&#3657;&#3634;&#3614;&#3619;&#3657;&#3629;&#3617;&#3626;&#3656;&#3591;&#3592;&#3634;&#3585;&#3652;&#3607;&#3618;-i.322401763.23358961670" TargetMode="External"/><Relationship Id="rId17" Type="http://schemas.openxmlformats.org/officeDocument/2006/relationships/hyperlink" Target="https://www.lazada.co.th/products/gootbs-2-i3804222414.html" TargetMode="External"/><Relationship Id="rId2" Type="http://schemas.openxmlformats.org/officeDocument/2006/relationships/hyperlink" Target="https://shopee.co.th/product/1268109254/43455298311" TargetMode="External"/><Relationship Id="rId16" Type="http://schemas.openxmlformats.org/officeDocument/2006/relationships/hyperlink" Target="https://shopee.co.th/product/533382537/17996692257" TargetMode="External"/><Relationship Id="rId1" Type="http://schemas.openxmlformats.org/officeDocument/2006/relationships/hyperlink" Target="https://shopee.co.th/(&#3619;&#3640;&#3656;&#3609;&#3651;&#3627;&#3617;&#3656;)-&#3649;&#3610;&#3605;&#3648;&#3605;&#3629;&#3619;&#3637;&#3656;-NP-F970-NP-F960-&#3626;&#3635;&#3627;&#3619;&#3633;&#3610;-Sony-F970-F960-F950-F770-F750-F330-F550-F570-&#3652;&#3615;-LED-YN-300-YN-600-MC1500C-i.23715158.3436585228" TargetMode="External"/><Relationship Id="rId6" Type="http://schemas.openxmlformats.org/officeDocument/2006/relationships/hyperlink" Target="https://www.lazada.co.th/products/18650-i4502009941.html" TargetMode="External"/><Relationship Id="rId11" Type="http://schemas.openxmlformats.org/officeDocument/2006/relationships/hyperlink" Target="https://shopee.co.th/product/1016298352/25281797674" TargetMode="External"/><Relationship Id="rId5" Type="http://schemas.openxmlformats.org/officeDocument/2006/relationships/hyperlink" Target="https://shopee.co.th/&#3621;&#3623;&#3604;&#3595;&#3633;&#3610;&#3605;&#3632;&#3585;&#3633;&#3656;&#3623;-MIJING-AR-2020-AR-2015-&#3604;&#3641;&#3604;&#3595;&#3633;&#3610;&#3604;&#3637;&#3610;&#3640;&#3585;-&#3626;&#3635;&#3627;&#3619;&#3633;&#3610;&#3648;&#3594;&#3639;&#3656;&#3629;&#3617;&#3648;&#3617;&#3609;&#3610;&#3629;&#3619;&#3660;&#3604;&#3650;&#3607;&#3619;&#3624;&#3633;&#3614;&#3607;&#3660;&#3617;&#3639;&#3629;&#3606;&#3639;&#3629;-5-&#3594;&#3636;&#3657;&#3609;-i.1365075624.49505818068" TargetMode="External"/><Relationship Id="rId15" Type="http://schemas.openxmlformats.org/officeDocument/2006/relationships/hyperlink" Target="https://www.lazada.co.th/products/pcie-pci-e-pci-express-x1-to-pci-riser-card-bus-card-high-efficiency-adapter-converter-usb-30-cable-for-desktop-pc-i4728157237-s19499526683.html?from_gmc=1&amp;fl_tag=1" TargetMode="External"/><Relationship Id="rId10" Type="http://schemas.openxmlformats.org/officeDocument/2006/relationships/hyperlink" Target="https://shopee.co.th/product/1602634240/41022406417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https://shopee.co.th/product/313036196/22675591817" TargetMode="External"/><Relationship Id="rId9" Type="http://schemas.openxmlformats.org/officeDocument/2006/relationships/hyperlink" Target="https://shopee.co.th/product/1017874275/25345324247" TargetMode="External"/><Relationship Id="rId14" Type="http://schemas.openxmlformats.org/officeDocument/2006/relationships/hyperlink" Target="https://shopee.co.th/HETH-35-&#3617;&#3617;.U-&#3619;&#3641;&#3611;-DIN-Rail-Holder-Universal-Rail-Bule-Rail-Fix-Clamp-Fastener-&#3588;&#3621;&#3636;&#3611;-C45-&#3585;&#3634;&#3619;&#3605;&#3636;&#3604;&#3605;&#3633;&#3657;&#3591;&#3652;&#3615;&#3615;&#3657;&#3634;&#3607;&#3656;&#3629;&#3591;&#3648;&#3607;&#3637;&#3656;&#3618;&#3623;-Rail-Bule-HETH-i.1265239048.57856657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6"/>
  <sheetViews>
    <sheetView zoomScale="130" zoomScaleNormal="130" workbookViewId="0">
      <selection activeCell="H55" sqref="H55"/>
    </sheetView>
  </sheetViews>
  <sheetFormatPr defaultRowHeight="19.05"/>
  <cols>
    <col min="1" max="1" width="5.25" style="6" customWidth="1"/>
    <col min="2" max="2" width="46" style="6" bestFit="1" customWidth="1"/>
    <col min="3" max="3" width="6.375" style="6" customWidth="1"/>
    <col min="4" max="4" width="7.25" style="6" customWidth="1"/>
    <col min="5" max="5" width="12.875" style="6" customWidth="1"/>
    <col min="6" max="6" width="12.375" style="6" bestFit="1" customWidth="1"/>
    <col min="7" max="7" width="12.5" style="57" customWidth="1"/>
    <col min="8" max="8" width="19.75" style="6" customWidth="1"/>
    <col min="9" max="9" width="18.5" style="61" customWidth="1"/>
    <col min="10" max="16384" width="9" style="6"/>
  </cols>
  <sheetData>
    <row r="1" spans="1:9">
      <c r="A1" s="120" t="s">
        <v>8</v>
      </c>
      <c r="B1" s="120"/>
      <c r="C1" s="120"/>
      <c r="D1" s="120"/>
      <c r="E1" s="120"/>
      <c r="F1" s="120"/>
      <c r="G1" s="120"/>
      <c r="H1" s="53"/>
    </row>
    <row r="2" spans="1:9">
      <c r="A2" s="121" t="s">
        <v>206</v>
      </c>
      <c r="B2" s="121"/>
      <c r="C2" s="121"/>
      <c r="D2" s="121"/>
      <c r="E2" s="121"/>
      <c r="F2" s="121"/>
      <c r="G2" s="121"/>
      <c r="H2" s="53"/>
    </row>
    <row r="3" spans="1:9" ht="26.15" customHeight="1">
      <c r="A3" s="122" t="s">
        <v>0</v>
      </c>
      <c r="B3" s="122" t="s">
        <v>1</v>
      </c>
      <c r="C3" s="124" t="s">
        <v>7</v>
      </c>
      <c r="D3" s="125"/>
      <c r="E3" s="128" t="s">
        <v>2</v>
      </c>
      <c r="F3" s="130" t="s">
        <v>3</v>
      </c>
      <c r="G3" s="132" t="s">
        <v>123</v>
      </c>
      <c r="H3" s="67"/>
      <c r="I3" s="68"/>
    </row>
    <row r="4" spans="1:9">
      <c r="A4" s="123"/>
      <c r="B4" s="123"/>
      <c r="C4" s="126"/>
      <c r="D4" s="127"/>
      <c r="E4" s="129"/>
      <c r="F4" s="131"/>
      <c r="G4" s="133"/>
      <c r="H4" s="67"/>
      <c r="I4" s="68"/>
    </row>
    <row r="5" spans="1:9" s="7" customFormat="1">
      <c r="A5" s="86">
        <v>1</v>
      </c>
      <c r="B5" s="87" t="s">
        <v>31</v>
      </c>
      <c r="C5" s="88">
        <v>400</v>
      </c>
      <c r="D5" s="89" t="s">
        <v>32</v>
      </c>
      <c r="E5" s="90">
        <v>1</v>
      </c>
      <c r="F5" s="90">
        <f>SUM(C5*E5)</f>
        <v>400</v>
      </c>
      <c r="G5" s="91" t="s">
        <v>124</v>
      </c>
      <c r="H5" s="92"/>
      <c r="I5" s="93"/>
    </row>
    <row r="6" spans="1:9" s="7" customFormat="1">
      <c r="A6" s="86">
        <v>2</v>
      </c>
      <c r="B6" s="94" t="s">
        <v>148</v>
      </c>
      <c r="C6" s="88">
        <v>4</v>
      </c>
      <c r="D6" s="89" t="s">
        <v>14</v>
      </c>
      <c r="E6" s="95">
        <v>1590</v>
      </c>
      <c r="F6" s="90">
        <f t="shared" ref="F6:F53" si="0">SUM(C6*E6)</f>
        <v>6360</v>
      </c>
      <c r="G6" s="91" t="s">
        <v>124</v>
      </c>
      <c r="H6" s="92"/>
      <c r="I6" s="93"/>
    </row>
    <row r="7" spans="1:9" s="7" customFormat="1">
      <c r="A7" s="86">
        <v>3</v>
      </c>
      <c r="B7" s="94" t="s">
        <v>33</v>
      </c>
      <c r="C7" s="88">
        <v>2</v>
      </c>
      <c r="D7" s="89" t="s">
        <v>14</v>
      </c>
      <c r="E7" s="90">
        <v>690</v>
      </c>
      <c r="F7" s="90">
        <f t="shared" si="0"/>
        <v>1380</v>
      </c>
      <c r="G7" s="91" t="s">
        <v>124</v>
      </c>
      <c r="H7" s="92"/>
      <c r="I7" s="93"/>
    </row>
    <row r="8" spans="1:9" s="7" customFormat="1" ht="21.25" customHeight="1">
      <c r="A8" s="86">
        <v>4</v>
      </c>
      <c r="B8" s="94" t="s">
        <v>34</v>
      </c>
      <c r="C8" s="88">
        <v>8</v>
      </c>
      <c r="D8" s="89" t="s">
        <v>14</v>
      </c>
      <c r="E8" s="90">
        <v>390</v>
      </c>
      <c r="F8" s="90">
        <f t="shared" si="0"/>
        <v>3120</v>
      </c>
      <c r="G8" s="91" t="s">
        <v>129</v>
      </c>
      <c r="H8" s="92"/>
      <c r="I8" s="93"/>
    </row>
    <row r="9" spans="1:9" s="7" customFormat="1">
      <c r="A9" s="86">
        <v>5</v>
      </c>
      <c r="B9" s="94" t="s">
        <v>35</v>
      </c>
      <c r="C9" s="88">
        <v>3</v>
      </c>
      <c r="D9" s="89" t="s">
        <v>13</v>
      </c>
      <c r="E9" s="95">
        <v>490</v>
      </c>
      <c r="F9" s="90">
        <f t="shared" si="0"/>
        <v>1470</v>
      </c>
      <c r="G9" s="91" t="s">
        <v>124</v>
      </c>
      <c r="H9" s="92"/>
      <c r="I9" s="93"/>
    </row>
    <row r="10" spans="1:9" s="7" customFormat="1">
      <c r="A10" s="86">
        <v>6</v>
      </c>
      <c r="B10" s="94" t="s">
        <v>149</v>
      </c>
      <c r="C10" s="88">
        <v>6</v>
      </c>
      <c r="D10" s="89" t="s">
        <v>14</v>
      </c>
      <c r="E10" s="90">
        <v>290</v>
      </c>
      <c r="F10" s="90">
        <f t="shared" si="0"/>
        <v>1740</v>
      </c>
      <c r="G10" s="91" t="s">
        <v>126</v>
      </c>
      <c r="H10" s="92"/>
      <c r="I10" s="93"/>
    </row>
    <row r="11" spans="1:9" s="7" customFormat="1">
      <c r="A11" s="86">
        <v>7</v>
      </c>
      <c r="B11" s="94" t="s">
        <v>150</v>
      </c>
      <c r="C11" s="88">
        <v>5</v>
      </c>
      <c r="D11" s="89" t="s">
        <v>14</v>
      </c>
      <c r="E11" s="90">
        <v>350</v>
      </c>
      <c r="F11" s="90">
        <f t="shared" si="0"/>
        <v>1750</v>
      </c>
      <c r="G11" s="91" t="s">
        <v>124</v>
      </c>
      <c r="H11" s="92"/>
      <c r="I11" s="93"/>
    </row>
    <row r="12" spans="1:9" s="7" customFormat="1">
      <c r="A12" s="86">
        <v>8</v>
      </c>
      <c r="B12" s="94" t="s">
        <v>151</v>
      </c>
      <c r="C12" s="88">
        <v>4</v>
      </c>
      <c r="D12" s="89" t="s">
        <v>13</v>
      </c>
      <c r="E12" s="95">
        <v>990</v>
      </c>
      <c r="F12" s="90">
        <f t="shared" si="0"/>
        <v>3960</v>
      </c>
      <c r="G12" s="91" t="s">
        <v>125</v>
      </c>
      <c r="H12" s="92"/>
      <c r="I12" s="93"/>
    </row>
    <row r="13" spans="1:9" s="7" customFormat="1">
      <c r="A13" s="86">
        <v>9</v>
      </c>
      <c r="B13" s="87" t="s">
        <v>152</v>
      </c>
      <c r="C13" s="96">
        <v>2</v>
      </c>
      <c r="D13" s="97" t="s">
        <v>14</v>
      </c>
      <c r="E13" s="90">
        <v>1890</v>
      </c>
      <c r="F13" s="90">
        <f t="shared" si="0"/>
        <v>3780</v>
      </c>
      <c r="G13" s="91" t="s">
        <v>124</v>
      </c>
      <c r="H13" s="92"/>
      <c r="I13" s="93"/>
    </row>
    <row r="14" spans="1:9" s="7" customFormat="1">
      <c r="A14" s="86">
        <v>10</v>
      </c>
      <c r="B14" s="87" t="s">
        <v>153</v>
      </c>
      <c r="C14" s="96">
        <v>1</v>
      </c>
      <c r="D14" s="97" t="s">
        <v>14</v>
      </c>
      <c r="E14" s="90">
        <v>3990</v>
      </c>
      <c r="F14" s="90">
        <f t="shared" si="0"/>
        <v>3990</v>
      </c>
      <c r="G14" s="91" t="s">
        <v>124</v>
      </c>
      <c r="H14" s="92"/>
      <c r="I14" s="93"/>
    </row>
    <row r="15" spans="1:9" s="7" customFormat="1">
      <c r="A15" s="86">
        <v>11</v>
      </c>
      <c r="B15" s="87" t="s">
        <v>154</v>
      </c>
      <c r="C15" s="96">
        <v>20</v>
      </c>
      <c r="D15" s="97" t="s">
        <v>16</v>
      </c>
      <c r="E15" s="90">
        <v>90</v>
      </c>
      <c r="F15" s="90">
        <f t="shared" si="0"/>
        <v>1800</v>
      </c>
      <c r="G15" s="91" t="s">
        <v>124</v>
      </c>
      <c r="H15" s="92"/>
      <c r="I15" s="93"/>
    </row>
    <row r="16" spans="1:9" s="7" customFormat="1">
      <c r="A16" s="86">
        <v>12</v>
      </c>
      <c r="B16" s="87" t="s">
        <v>155</v>
      </c>
      <c r="C16" s="96">
        <v>5</v>
      </c>
      <c r="D16" s="97" t="s">
        <v>5</v>
      </c>
      <c r="E16" s="95">
        <v>120</v>
      </c>
      <c r="F16" s="90">
        <f t="shared" si="0"/>
        <v>600</v>
      </c>
      <c r="G16" s="91" t="s">
        <v>124</v>
      </c>
      <c r="H16" s="92"/>
      <c r="I16" s="93"/>
    </row>
    <row r="17" spans="1:9" s="7" customFormat="1" ht="38.049999999999997">
      <c r="A17" s="86">
        <v>13</v>
      </c>
      <c r="B17" s="87" t="s">
        <v>156</v>
      </c>
      <c r="C17" s="96">
        <v>5</v>
      </c>
      <c r="D17" s="97" t="s">
        <v>12</v>
      </c>
      <c r="E17" s="90">
        <v>1290</v>
      </c>
      <c r="F17" s="90">
        <f t="shared" si="0"/>
        <v>6450</v>
      </c>
      <c r="G17" s="91" t="s">
        <v>138</v>
      </c>
      <c r="H17" s="98" t="s">
        <v>41</v>
      </c>
      <c r="I17" s="93"/>
    </row>
    <row r="18" spans="1:9" s="7" customFormat="1">
      <c r="A18" s="86">
        <v>14</v>
      </c>
      <c r="B18" s="87" t="s">
        <v>157</v>
      </c>
      <c r="C18" s="96">
        <v>4</v>
      </c>
      <c r="D18" s="97" t="s">
        <v>14</v>
      </c>
      <c r="E18" s="90">
        <v>890</v>
      </c>
      <c r="F18" s="90">
        <f t="shared" si="0"/>
        <v>3560</v>
      </c>
      <c r="G18" s="91" t="s">
        <v>124</v>
      </c>
      <c r="H18" s="92"/>
      <c r="I18" s="93"/>
    </row>
    <row r="19" spans="1:9" s="7" customFormat="1">
      <c r="A19" s="86">
        <v>15</v>
      </c>
      <c r="B19" s="87" t="s">
        <v>158</v>
      </c>
      <c r="C19" s="96">
        <v>4</v>
      </c>
      <c r="D19" s="97" t="s">
        <v>14</v>
      </c>
      <c r="E19" s="90">
        <v>1290</v>
      </c>
      <c r="F19" s="90">
        <f t="shared" si="0"/>
        <v>5160</v>
      </c>
      <c r="G19" s="91" t="s">
        <v>124</v>
      </c>
      <c r="H19" s="92"/>
      <c r="I19" s="93"/>
    </row>
    <row r="20" spans="1:9" s="7" customFormat="1">
      <c r="A20" s="86">
        <v>16</v>
      </c>
      <c r="B20" s="87" t="s">
        <v>44</v>
      </c>
      <c r="C20" s="96">
        <v>2</v>
      </c>
      <c r="D20" s="97" t="s">
        <v>5</v>
      </c>
      <c r="E20" s="90">
        <v>990</v>
      </c>
      <c r="F20" s="90">
        <f t="shared" si="0"/>
        <v>1980</v>
      </c>
      <c r="G20" s="91" t="s">
        <v>124</v>
      </c>
      <c r="H20" s="92"/>
      <c r="I20" s="93"/>
    </row>
    <row r="21" spans="1:9" s="7" customFormat="1">
      <c r="A21" s="86">
        <v>17</v>
      </c>
      <c r="B21" s="87" t="s">
        <v>45</v>
      </c>
      <c r="C21" s="96">
        <v>3</v>
      </c>
      <c r="D21" s="97" t="s">
        <v>5</v>
      </c>
      <c r="E21" s="90">
        <v>150</v>
      </c>
      <c r="F21" s="90">
        <f t="shared" si="0"/>
        <v>450</v>
      </c>
      <c r="G21" s="91" t="s">
        <v>124</v>
      </c>
      <c r="H21" s="92"/>
      <c r="I21" s="93"/>
    </row>
    <row r="22" spans="1:9" s="7" customFormat="1">
      <c r="A22" s="86">
        <v>18</v>
      </c>
      <c r="B22" s="87" t="s">
        <v>46</v>
      </c>
      <c r="C22" s="88">
        <v>1</v>
      </c>
      <c r="D22" s="89" t="s">
        <v>14</v>
      </c>
      <c r="E22" s="90">
        <v>1990</v>
      </c>
      <c r="F22" s="90">
        <f t="shared" si="0"/>
        <v>1990</v>
      </c>
      <c r="G22" s="91" t="s">
        <v>124</v>
      </c>
      <c r="H22" s="98" t="s">
        <v>41</v>
      </c>
      <c r="I22" s="93"/>
    </row>
    <row r="23" spans="1:9" s="7" customFormat="1" ht="38.049999999999997">
      <c r="A23" s="86">
        <v>19</v>
      </c>
      <c r="B23" s="87" t="s">
        <v>159</v>
      </c>
      <c r="C23" s="96">
        <v>7</v>
      </c>
      <c r="D23" s="97" t="s">
        <v>14</v>
      </c>
      <c r="E23" s="90">
        <v>6190</v>
      </c>
      <c r="F23" s="90">
        <f t="shared" si="0"/>
        <v>43330</v>
      </c>
      <c r="G23" s="91" t="s">
        <v>145</v>
      </c>
      <c r="H23" s="98" t="s">
        <v>41</v>
      </c>
      <c r="I23" s="93" t="s">
        <v>144</v>
      </c>
    </row>
    <row r="24" spans="1:9" s="7" customFormat="1">
      <c r="A24" s="86">
        <v>20</v>
      </c>
      <c r="B24" s="87" t="s">
        <v>173</v>
      </c>
      <c r="C24" s="96">
        <v>2</v>
      </c>
      <c r="D24" s="97" t="s">
        <v>14</v>
      </c>
      <c r="E24" s="90">
        <v>3990</v>
      </c>
      <c r="F24" s="90">
        <f t="shared" si="0"/>
        <v>7980</v>
      </c>
      <c r="G24" s="91" t="s">
        <v>124</v>
      </c>
      <c r="H24" s="98" t="s">
        <v>41</v>
      </c>
      <c r="I24" s="93"/>
    </row>
    <row r="25" spans="1:9" s="7" customFormat="1">
      <c r="A25" s="86">
        <v>21</v>
      </c>
      <c r="B25" s="87" t="s">
        <v>48</v>
      </c>
      <c r="C25" s="96">
        <v>4</v>
      </c>
      <c r="D25" s="97" t="s">
        <v>14</v>
      </c>
      <c r="E25" s="90">
        <v>250</v>
      </c>
      <c r="F25" s="90">
        <f t="shared" si="0"/>
        <v>1000</v>
      </c>
      <c r="G25" s="91" t="s">
        <v>124</v>
      </c>
      <c r="H25" s="98" t="s">
        <v>41</v>
      </c>
      <c r="I25" s="93"/>
    </row>
    <row r="26" spans="1:9" s="7" customFormat="1" ht="38.049999999999997">
      <c r="A26" s="86">
        <v>22</v>
      </c>
      <c r="B26" s="87" t="s">
        <v>146</v>
      </c>
      <c r="C26" s="96">
        <v>10</v>
      </c>
      <c r="D26" s="97" t="s">
        <v>15</v>
      </c>
      <c r="E26" s="90">
        <v>190</v>
      </c>
      <c r="F26" s="90">
        <f t="shared" si="0"/>
        <v>1900</v>
      </c>
      <c r="G26" s="91" t="s">
        <v>124</v>
      </c>
      <c r="H26" s="98" t="s">
        <v>41</v>
      </c>
      <c r="I26" s="93"/>
    </row>
    <row r="27" spans="1:9" s="7" customFormat="1" ht="38.049999999999997">
      <c r="A27" s="86">
        <v>23</v>
      </c>
      <c r="B27" s="87" t="s">
        <v>186</v>
      </c>
      <c r="C27" s="96">
        <v>5</v>
      </c>
      <c r="D27" s="97" t="s">
        <v>51</v>
      </c>
      <c r="E27" s="90">
        <v>120</v>
      </c>
      <c r="F27" s="90">
        <f t="shared" si="0"/>
        <v>600</v>
      </c>
      <c r="G27" s="91" t="s">
        <v>124</v>
      </c>
      <c r="H27" s="98" t="s">
        <v>41</v>
      </c>
      <c r="I27" s="93"/>
    </row>
    <row r="28" spans="1:9" s="7" customFormat="1">
      <c r="A28" s="86">
        <v>24</v>
      </c>
      <c r="B28" s="87" t="s">
        <v>52</v>
      </c>
      <c r="C28" s="96">
        <v>10</v>
      </c>
      <c r="D28" s="97" t="s">
        <v>11</v>
      </c>
      <c r="E28" s="90">
        <v>190</v>
      </c>
      <c r="F28" s="90">
        <f t="shared" si="0"/>
        <v>1900</v>
      </c>
      <c r="G28" s="91" t="s">
        <v>124</v>
      </c>
      <c r="H28" s="98" t="s">
        <v>41</v>
      </c>
      <c r="I28" s="93"/>
    </row>
    <row r="29" spans="1:9" s="7" customFormat="1">
      <c r="A29" s="86">
        <v>25</v>
      </c>
      <c r="B29" s="87" t="s">
        <v>53</v>
      </c>
      <c r="C29" s="96">
        <v>4</v>
      </c>
      <c r="D29" s="97" t="s">
        <v>54</v>
      </c>
      <c r="E29" s="90">
        <v>450</v>
      </c>
      <c r="F29" s="90">
        <f t="shared" si="0"/>
        <v>1800</v>
      </c>
      <c r="G29" s="91" t="s">
        <v>124</v>
      </c>
      <c r="H29" s="98" t="s">
        <v>41</v>
      </c>
      <c r="I29" s="93"/>
    </row>
    <row r="30" spans="1:9" s="7" customFormat="1" ht="38.049999999999997">
      <c r="A30" s="86">
        <v>26</v>
      </c>
      <c r="B30" s="87" t="s">
        <v>160</v>
      </c>
      <c r="C30" s="96">
        <v>2</v>
      </c>
      <c r="D30" s="97" t="s">
        <v>5</v>
      </c>
      <c r="E30" s="90">
        <v>990</v>
      </c>
      <c r="F30" s="90">
        <f t="shared" si="0"/>
        <v>1980</v>
      </c>
      <c r="G30" s="91" t="s">
        <v>124</v>
      </c>
      <c r="H30" s="98" t="s">
        <v>41</v>
      </c>
      <c r="I30" s="93"/>
    </row>
    <row r="31" spans="1:9" s="7" customFormat="1" ht="38.049999999999997">
      <c r="A31" s="86">
        <v>27</v>
      </c>
      <c r="B31" s="87" t="s">
        <v>161</v>
      </c>
      <c r="C31" s="96">
        <v>2</v>
      </c>
      <c r="D31" s="97" t="s">
        <v>5</v>
      </c>
      <c r="E31" s="90">
        <v>690</v>
      </c>
      <c r="F31" s="90">
        <f t="shared" si="0"/>
        <v>1380</v>
      </c>
      <c r="G31" s="91" t="s">
        <v>124</v>
      </c>
      <c r="H31" s="98" t="s">
        <v>41</v>
      </c>
      <c r="I31" s="93"/>
    </row>
    <row r="32" spans="1:9" s="7" customFormat="1" ht="57.1">
      <c r="A32" s="86">
        <v>28</v>
      </c>
      <c r="B32" s="87" t="s">
        <v>56</v>
      </c>
      <c r="C32" s="96">
        <v>4</v>
      </c>
      <c r="D32" s="97" t="s">
        <v>5</v>
      </c>
      <c r="E32" s="90">
        <v>3500</v>
      </c>
      <c r="F32" s="90">
        <f t="shared" si="0"/>
        <v>14000</v>
      </c>
      <c r="G32" s="91" t="s">
        <v>124</v>
      </c>
      <c r="H32" s="98" t="s">
        <v>41</v>
      </c>
      <c r="I32" s="93"/>
    </row>
    <row r="33" spans="1:9" s="7" customFormat="1">
      <c r="A33" s="86">
        <v>29</v>
      </c>
      <c r="B33" s="87" t="s">
        <v>162</v>
      </c>
      <c r="C33" s="96">
        <v>4</v>
      </c>
      <c r="D33" s="97" t="s">
        <v>14</v>
      </c>
      <c r="E33" s="90">
        <v>490</v>
      </c>
      <c r="F33" s="90">
        <f t="shared" si="0"/>
        <v>1960</v>
      </c>
      <c r="G33" s="91" t="s">
        <v>124</v>
      </c>
      <c r="H33" s="98" t="s">
        <v>41</v>
      </c>
      <c r="I33" s="93"/>
    </row>
    <row r="34" spans="1:9" s="7" customFormat="1">
      <c r="A34" s="86">
        <v>30</v>
      </c>
      <c r="B34" s="87" t="s">
        <v>163</v>
      </c>
      <c r="C34" s="96">
        <v>20</v>
      </c>
      <c r="D34" s="97" t="s">
        <v>14</v>
      </c>
      <c r="E34" s="90">
        <v>25</v>
      </c>
      <c r="F34" s="90">
        <f t="shared" si="0"/>
        <v>500</v>
      </c>
      <c r="G34" s="91" t="s">
        <v>124</v>
      </c>
      <c r="H34" s="98" t="s">
        <v>41</v>
      </c>
      <c r="I34" s="93"/>
    </row>
    <row r="35" spans="1:9" s="7" customFormat="1" ht="38.049999999999997">
      <c r="A35" s="86">
        <v>31</v>
      </c>
      <c r="B35" s="87" t="s">
        <v>164</v>
      </c>
      <c r="C35" s="96">
        <v>20</v>
      </c>
      <c r="D35" s="97" t="s">
        <v>14</v>
      </c>
      <c r="E35" s="90">
        <v>90</v>
      </c>
      <c r="F35" s="90">
        <f t="shared" si="0"/>
        <v>1800</v>
      </c>
      <c r="G35" s="91" t="s">
        <v>124</v>
      </c>
      <c r="H35" s="98" t="s">
        <v>41</v>
      </c>
      <c r="I35" s="93"/>
    </row>
    <row r="36" spans="1:9" s="7" customFormat="1" ht="57.1">
      <c r="A36" s="86">
        <v>32</v>
      </c>
      <c r="B36" s="87" t="s">
        <v>60</v>
      </c>
      <c r="C36" s="96">
        <v>20</v>
      </c>
      <c r="D36" s="97" t="s">
        <v>14</v>
      </c>
      <c r="E36" s="90">
        <v>150</v>
      </c>
      <c r="F36" s="90">
        <f t="shared" si="0"/>
        <v>3000</v>
      </c>
      <c r="G36" s="91" t="s">
        <v>124</v>
      </c>
      <c r="H36" s="98" t="s">
        <v>41</v>
      </c>
      <c r="I36" s="93"/>
    </row>
    <row r="37" spans="1:9" s="7" customFormat="1" ht="38.049999999999997">
      <c r="A37" s="86">
        <v>33</v>
      </c>
      <c r="B37" s="87" t="s">
        <v>183</v>
      </c>
      <c r="C37" s="96">
        <v>1</v>
      </c>
      <c r="D37" s="97" t="s">
        <v>61</v>
      </c>
      <c r="E37" s="90">
        <v>1290</v>
      </c>
      <c r="F37" s="90">
        <f t="shared" si="0"/>
        <v>1290</v>
      </c>
      <c r="G37" s="91" t="s">
        <v>124</v>
      </c>
      <c r="H37" s="92"/>
      <c r="I37" s="93"/>
    </row>
    <row r="38" spans="1:9" s="7" customFormat="1" ht="57.1">
      <c r="A38" s="86">
        <v>34</v>
      </c>
      <c r="B38" s="87" t="s">
        <v>62</v>
      </c>
      <c r="C38" s="96">
        <v>1</v>
      </c>
      <c r="D38" s="97" t="s">
        <v>14</v>
      </c>
      <c r="E38" s="90">
        <v>1290</v>
      </c>
      <c r="F38" s="90">
        <f t="shared" si="0"/>
        <v>1290</v>
      </c>
      <c r="G38" s="91" t="s">
        <v>124</v>
      </c>
      <c r="H38" s="98" t="s">
        <v>41</v>
      </c>
      <c r="I38" s="93"/>
    </row>
    <row r="39" spans="1:9" s="7" customFormat="1" ht="57.1">
      <c r="A39" s="86">
        <v>35</v>
      </c>
      <c r="B39" s="87" t="s">
        <v>63</v>
      </c>
      <c r="C39" s="96">
        <v>4</v>
      </c>
      <c r="D39" s="97" t="s">
        <v>14</v>
      </c>
      <c r="E39" s="90">
        <v>990</v>
      </c>
      <c r="F39" s="90">
        <f t="shared" si="0"/>
        <v>3960</v>
      </c>
      <c r="G39" s="91" t="s">
        <v>124</v>
      </c>
      <c r="H39" s="98" t="s">
        <v>41</v>
      </c>
      <c r="I39" s="93"/>
    </row>
    <row r="40" spans="1:9" s="7" customFormat="1">
      <c r="A40" s="86">
        <v>36</v>
      </c>
      <c r="B40" s="87" t="s">
        <v>165</v>
      </c>
      <c r="C40" s="96">
        <v>3</v>
      </c>
      <c r="D40" s="97" t="s">
        <v>12</v>
      </c>
      <c r="E40" s="90">
        <v>1290</v>
      </c>
      <c r="F40" s="90">
        <f t="shared" si="0"/>
        <v>3870</v>
      </c>
      <c r="G40" s="99" t="s">
        <v>65</v>
      </c>
      <c r="H40" s="92"/>
      <c r="I40" s="93"/>
    </row>
    <row r="41" spans="1:9" s="7" customFormat="1">
      <c r="A41" s="86">
        <v>37</v>
      </c>
      <c r="B41" s="87" t="s">
        <v>166</v>
      </c>
      <c r="C41" s="96">
        <v>4</v>
      </c>
      <c r="D41" s="97" t="s">
        <v>14</v>
      </c>
      <c r="E41" s="90">
        <v>690</v>
      </c>
      <c r="F41" s="90">
        <f t="shared" si="0"/>
        <v>2760</v>
      </c>
      <c r="G41" s="99" t="s">
        <v>65</v>
      </c>
      <c r="H41" s="92"/>
      <c r="I41" s="93"/>
    </row>
    <row r="42" spans="1:9" s="7" customFormat="1">
      <c r="A42" s="86">
        <v>38</v>
      </c>
      <c r="B42" s="87" t="s">
        <v>167</v>
      </c>
      <c r="C42" s="96">
        <v>7</v>
      </c>
      <c r="D42" s="97" t="s">
        <v>14</v>
      </c>
      <c r="E42" s="90">
        <v>890</v>
      </c>
      <c r="F42" s="90">
        <f t="shared" si="0"/>
        <v>6230</v>
      </c>
      <c r="G42" s="99" t="s">
        <v>66</v>
      </c>
      <c r="H42" s="92"/>
      <c r="I42" s="93"/>
    </row>
    <row r="43" spans="1:9" s="7" customFormat="1">
      <c r="A43" s="86">
        <v>39</v>
      </c>
      <c r="B43" s="87" t="s">
        <v>168</v>
      </c>
      <c r="C43" s="96">
        <v>2</v>
      </c>
      <c r="D43" s="97" t="s">
        <v>9</v>
      </c>
      <c r="E43" s="90">
        <v>350</v>
      </c>
      <c r="F43" s="90">
        <f t="shared" si="0"/>
        <v>700</v>
      </c>
      <c r="G43" s="99" t="s">
        <v>66</v>
      </c>
      <c r="H43" s="92"/>
      <c r="I43" s="93"/>
    </row>
    <row r="44" spans="1:9" s="7" customFormat="1" ht="38.049999999999997">
      <c r="A44" s="86">
        <v>40</v>
      </c>
      <c r="B44" s="87" t="s">
        <v>85</v>
      </c>
      <c r="C44" s="100">
        <v>1</v>
      </c>
      <c r="D44" s="101" t="s">
        <v>12</v>
      </c>
      <c r="E44" s="102">
        <v>1290</v>
      </c>
      <c r="F44" s="102">
        <f t="shared" si="0"/>
        <v>1290</v>
      </c>
      <c r="G44" s="103" t="s">
        <v>132</v>
      </c>
      <c r="H44" s="26"/>
      <c r="I44" s="104" t="s">
        <v>127</v>
      </c>
    </row>
    <row r="45" spans="1:9" s="7" customFormat="1">
      <c r="A45" s="105">
        <v>41</v>
      </c>
      <c r="B45" s="87" t="s">
        <v>169</v>
      </c>
      <c r="C45" s="96">
        <v>1</v>
      </c>
      <c r="D45" s="97" t="s">
        <v>13</v>
      </c>
      <c r="E45" s="90">
        <v>2990</v>
      </c>
      <c r="F45" s="90">
        <f t="shared" si="0"/>
        <v>2990</v>
      </c>
      <c r="G45" s="106" t="s">
        <v>132</v>
      </c>
      <c r="I45" s="104" t="s">
        <v>127</v>
      </c>
    </row>
    <row r="46" spans="1:9" s="7" customFormat="1">
      <c r="A46" s="105">
        <v>42</v>
      </c>
      <c r="B46" s="87" t="s">
        <v>177</v>
      </c>
      <c r="C46" s="96">
        <v>1</v>
      </c>
      <c r="D46" s="97" t="s">
        <v>13</v>
      </c>
      <c r="E46" s="90">
        <v>2500</v>
      </c>
      <c r="F46" s="90">
        <f t="shared" si="0"/>
        <v>2500</v>
      </c>
      <c r="G46" s="106" t="s">
        <v>66</v>
      </c>
      <c r="I46" s="104"/>
    </row>
    <row r="47" spans="1:9" s="7" customFormat="1">
      <c r="A47" s="105">
        <v>43</v>
      </c>
      <c r="B47" s="87" t="s">
        <v>133</v>
      </c>
      <c r="C47" s="96">
        <v>3</v>
      </c>
      <c r="D47" s="97" t="s">
        <v>14</v>
      </c>
      <c r="E47" s="90">
        <v>1290</v>
      </c>
      <c r="F47" s="90">
        <f t="shared" si="0"/>
        <v>3870</v>
      </c>
      <c r="G47" s="106" t="s">
        <v>140</v>
      </c>
      <c r="I47" s="104"/>
    </row>
    <row r="48" spans="1:9" s="7" customFormat="1">
      <c r="A48" s="86">
        <v>44</v>
      </c>
      <c r="B48" s="87" t="s">
        <v>170</v>
      </c>
      <c r="C48" s="96">
        <v>200</v>
      </c>
      <c r="D48" s="97" t="s">
        <v>17</v>
      </c>
      <c r="E48" s="90">
        <v>65</v>
      </c>
      <c r="F48" s="90">
        <f t="shared" si="0"/>
        <v>13000</v>
      </c>
      <c r="G48" s="91" t="s">
        <v>65</v>
      </c>
      <c r="I48" s="104" t="s">
        <v>143</v>
      </c>
    </row>
    <row r="49" spans="1:9" s="7" customFormat="1">
      <c r="A49" s="86">
        <v>45</v>
      </c>
      <c r="B49" s="87" t="s">
        <v>121</v>
      </c>
      <c r="C49" s="96">
        <v>30</v>
      </c>
      <c r="D49" s="97" t="s">
        <v>17</v>
      </c>
      <c r="E49" s="90">
        <v>65</v>
      </c>
      <c r="F49" s="90">
        <f t="shared" si="0"/>
        <v>1950</v>
      </c>
      <c r="G49" s="91" t="s">
        <v>65</v>
      </c>
      <c r="H49" s="107"/>
      <c r="I49" s="93"/>
    </row>
    <row r="50" spans="1:9" s="8" customFormat="1">
      <c r="A50" s="13">
        <v>46</v>
      </c>
      <c r="B50" s="11" t="s">
        <v>207</v>
      </c>
      <c r="C50" s="50">
        <v>4</v>
      </c>
      <c r="D50" s="51" t="s">
        <v>211</v>
      </c>
      <c r="E50" s="54">
        <v>3990</v>
      </c>
      <c r="F50" s="54">
        <f t="shared" si="0"/>
        <v>15960</v>
      </c>
      <c r="G50" s="77" t="s">
        <v>65</v>
      </c>
      <c r="H50" s="55"/>
      <c r="I50" s="104" t="s">
        <v>127</v>
      </c>
    </row>
    <row r="51" spans="1:9" s="8" customFormat="1">
      <c r="A51" s="13">
        <v>47</v>
      </c>
      <c r="B51" s="11" t="s">
        <v>208</v>
      </c>
      <c r="C51" s="50">
        <v>4</v>
      </c>
      <c r="D51" s="51" t="s">
        <v>211</v>
      </c>
      <c r="E51" s="54">
        <v>4190</v>
      </c>
      <c r="F51" s="73">
        <f t="shared" si="0"/>
        <v>16760</v>
      </c>
      <c r="G51" s="77" t="s">
        <v>65</v>
      </c>
      <c r="H51" s="55"/>
      <c r="I51" s="104" t="s">
        <v>127</v>
      </c>
    </row>
    <row r="52" spans="1:9" s="8" customFormat="1">
      <c r="A52" s="13">
        <v>48</v>
      </c>
      <c r="B52" s="11" t="s">
        <v>209</v>
      </c>
      <c r="C52" s="50">
        <v>4</v>
      </c>
      <c r="D52" s="51" t="s">
        <v>211</v>
      </c>
      <c r="E52" s="54">
        <v>4190</v>
      </c>
      <c r="F52" s="73">
        <f t="shared" si="0"/>
        <v>16760</v>
      </c>
      <c r="G52" s="77" t="s">
        <v>65</v>
      </c>
      <c r="H52" s="55"/>
      <c r="I52" s="104" t="s">
        <v>127</v>
      </c>
    </row>
    <row r="53" spans="1:9" s="8" customFormat="1">
      <c r="A53" s="13">
        <v>49</v>
      </c>
      <c r="B53" s="11" t="s">
        <v>210</v>
      </c>
      <c r="C53" s="50">
        <v>4</v>
      </c>
      <c r="D53" s="51" t="s">
        <v>211</v>
      </c>
      <c r="E53" s="54">
        <v>4190</v>
      </c>
      <c r="F53" s="73">
        <f t="shared" si="0"/>
        <v>16760</v>
      </c>
      <c r="G53" s="77" t="s">
        <v>65</v>
      </c>
      <c r="H53" s="55"/>
      <c r="I53" s="104" t="s">
        <v>127</v>
      </c>
    </row>
    <row r="54" spans="1:9" s="7" customFormat="1">
      <c r="A54" s="108"/>
      <c r="B54" s="87"/>
      <c r="C54" s="96"/>
      <c r="D54" s="97"/>
      <c r="E54" s="90"/>
      <c r="F54" s="90"/>
      <c r="G54" s="109"/>
      <c r="H54" s="107"/>
      <c r="I54" s="93"/>
    </row>
    <row r="55" spans="1:9" s="7" customFormat="1">
      <c r="A55" s="108"/>
      <c r="B55" s="80" t="s">
        <v>212</v>
      </c>
      <c r="C55" s="117" t="s">
        <v>4</v>
      </c>
      <c r="D55" s="118"/>
      <c r="E55" s="119"/>
      <c r="F55" s="110">
        <f>SUM(F5:F54)</f>
        <v>245010</v>
      </c>
      <c r="G55" s="90"/>
      <c r="H55" s="107"/>
      <c r="I55" s="93"/>
    </row>
    <row r="57" spans="1:9" s="1" customFormat="1" ht="21.1">
      <c r="A57" s="4"/>
      <c r="B57" s="4"/>
      <c r="C57" s="4"/>
      <c r="D57" s="4"/>
      <c r="E57" s="4"/>
      <c r="F57" s="4"/>
    </row>
    <row r="58" spans="1:9" s="1" customFormat="1" ht="21.1">
      <c r="A58" s="4"/>
      <c r="C58" s="5"/>
      <c r="D58" s="2"/>
      <c r="E58" s="3"/>
      <c r="F58" s="3"/>
    </row>
    <row r="59" spans="1:9" s="1" customFormat="1" ht="21.1">
      <c r="A59" s="4"/>
      <c r="C59" s="5"/>
      <c r="D59" s="2"/>
      <c r="E59" s="3"/>
      <c r="F59" s="3"/>
    </row>
    <row r="60" spans="1:9" s="1" customFormat="1" ht="21.1">
      <c r="B60" s="36" t="s">
        <v>20</v>
      </c>
      <c r="C60" s="5"/>
      <c r="D60" s="2"/>
      <c r="E60" s="3"/>
      <c r="F60" s="3"/>
    </row>
    <row r="61" spans="1:9" s="1" customFormat="1" ht="21.1">
      <c r="B61" s="36" t="s">
        <v>21</v>
      </c>
      <c r="C61" s="5"/>
      <c r="D61" s="2"/>
      <c r="E61" s="3"/>
      <c r="F61" s="3"/>
    </row>
    <row r="62" spans="1:9" s="1" customFormat="1" ht="21.1">
      <c r="B62" s="36" t="s">
        <v>22</v>
      </c>
      <c r="C62" s="5"/>
      <c r="D62" s="2"/>
      <c r="E62" s="3"/>
      <c r="F62" s="3"/>
    </row>
    <row r="63" spans="1:9" s="3" customFormat="1" ht="23.3" customHeight="1">
      <c r="A63" s="1"/>
      <c r="B63" s="36"/>
      <c r="C63" s="5"/>
      <c r="D63" s="2"/>
      <c r="G63" s="1"/>
      <c r="H63" s="1"/>
    </row>
    <row r="64" spans="1:9" s="3" customFormat="1" ht="23.3" customHeight="1">
      <c r="A64" s="1"/>
      <c r="B64" s="37" t="s">
        <v>23</v>
      </c>
      <c r="C64" s="5"/>
      <c r="D64" s="2"/>
      <c r="G64" s="1"/>
      <c r="H64" s="1"/>
    </row>
    <row r="65" spans="1:8" s="3" customFormat="1" ht="21.1">
      <c r="A65" s="1"/>
      <c r="B65" s="36" t="s">
        <v>24</v>
      </c>
      <c r="C65" s="2"/>
      <c r="D65" s="43"/>
      <c r="E65" s="44"/>
      <c r="G65" s="1"/>
      <c r="H65" s="1"/>
    </row>
    <row r="66" spans="1:8" s="3" customFormat="1" ht="21.1">
      <c r="A66" s="1"/>
      <c r="B66" s="36" t="s">
        <v>25</v>
      </c>
      <c r="C66" s="2"/>
      <c r="G66" s="1"/>
      <c r="H66" s="1"/>
    </row>
  </sheetData>
  <mergeCells count="9">
    <mergeCell ref="C55:E55"/>
    <mergeCell ref="A1:G1"/>
    <mergeCell ref="A2:G2"/>
    <mergeCell ref="G3:G4"/>
    <mergeCell ref="A3:A4"/>
    <mergeCell ref="B3:B4"/>
    <mergeCell ref="C3:D4"/>
    <mergeCell ref="E3:E4"/>
    <mergeCell ref="F3:F4"/>
  </mergeCells>
  <hyperlinks>
    <hyperlink ref="H22" r:id="rId1" xr:uid="{362F619B-9A56-4720-BBC0-9B4995314E88}"/>
    <hyperlink ref="H25" r:id="rId2" xr:uid="{F03D3ADB-86D7-4A2A-9232-09F6E99FB5BC}"/>
    <hyperlink ref="H24" r:id="rId3" xr:uid="{F78F8EB3-777A-4384-B868-B3CF7BC5FFF5}"/>
    <hyperlink ref="H26" r:id="rId4" xr:uid="{B8BD53A9-20CE-4B6D-A95B-1819F599B86E}"/>
    <hyperlink ref="H27" r:id="rId5" xr:uid="{A067065F-0776-4740-88A2-1A79754AD6A3}"/>
    <hyperlink ref="H28" r:id="rId6" xr:uid="{3C9ECBFA-DDDE-4E83-BB7A-A70D10B1DF13}"/>
    <hyperlink ref="H30" r:id="rId7" xr:uid="{5ABB2866-4F8D-43A5-98C0-5B7570ADC057}"/>
    <hyperlink ref="H31" r:id="rId8" xr:uid="{274A4F05-51EE-4F14-BDF1-D0BB8360E33F}"/>
    <hyperlink ref="H32" r:id="rId9" xr:uid="{CDAD895A-2F88-4267-B8C7-350065261F12}"/>
    <hyperlink ref="H23" r:id="rId10" xr:uid="{33A93C2C-8FDD-49D5-AE37-45D4A04580A0}"/>
    <hyperlink ref="H33" r:id="rId11" xr:uid="{4E930431-64E9-4FBE-9C41-78A631A1A9D3}"/>
    <hyperlink ref="H34" r:id="rId12" xr:uid="{8C44B99B-0F42-40C0-BE91-FDEDA11C65B4}"/>
    <hyperlink ref="H35" r:id="rId13" xr:uid="{DC268242-ED9C-471F-96E0-25E457884C76}"/>
    <hyperlink ref="H36" r:id="rId14" xr:uid="{33193EE0-CD65-46F2-B938-5C1F661F599F}"/>
    <hyperlink ref="H38" r:id="rId15" xr:uid="{B4EDC62D-EE80-4062-BE25-D282C9E8CE7A}"/>
    <hyperlink ref="H39" r:id="rId16" xr:uid="{28A41D20-25FF-4D26-B1CB-622557E5BD73}"/>
    <hyperlink ref="H29" r:id="rId17" xr:uid="{B1ABD932-046C-490F-A4C6-51455049D511}"/>
    <hyperlink ref="H17" r:id="rId18" xr:uid="{20749078-6632-4750-A3CC-5102C1E7E760}"/>
  </hyperlinks>
  <pageMargins left="0.37" right="0.19685039370078741" top="0.51181102362204722" bottom="0.43" header="0.43307086614173229" footer="0.39370078740157483"/>
  <pageSetup paperSize="9" scale="95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9F95-0E38-4AE4-84BD-BA06E4AB18D2}">
  <dimension ref="A1:F64"/>
  <sheetViews>
    <sheetView topLeftCell="A57" zoomScale="130" zoomScaleNormal="130" workbookViewId="0">
      <selection activeCell="C64" sqref="C64"/>
    </sheetView>
  </sheetViews>
  <sheetFormatPr defaultRowHeight="19.05"/>
  <cols>
    <col min="1" max="1" width="8" style="6" customWidth="1"/>
    <col min="2" max="2" width="47.25" style="6" customWidth="1"/>
    <col min="3" max="3" width="6.375" style="6" customWidth="1"/>
    <col min="4" max="4" width="8.125" style="6" customWidth="1"/>
    <col min="5" max="5" width="14" style="6" customWidth="1"/>
    <col min="6" max="6" width="14.75" style="6" customWidth="1"/>
    <col min="7" max="16384" width="9" style="6"/>
  </cols>
  <sheetData>
    <row r="1" spans="1:6">
      <c r="A1" s="120" t="s">
        <v>8</v>
      </c>
      <c r="B1" s="120"/>
      <c r="C1" s="120"/>
      <c r="D1" s="120"/>
      <c r="E1" s="120"/>
      <c r="F1" s="120"/>
    </row>
    <row r="2" spans="1:6">
      <c r="A2" s="121" t="s">
        <v>206</v>
      </c>
      <c r="B2" s="121"/>
      <c r="C2" s="121"/>
      <c r="D2" s="121"/>
      <c r="E2" s="121"/>
      <c r="F2" s="121"/>
    </row>
    <row r="3" spans="1:6" ht="26.15" customHeight="1">
      <c r="A3" s="122" t="s">
        <v>0</v>
      </c>
      <c r="B3" s="122" t="s">
        <v>1</v>
      </c>
      <c r="C3" s="124" t="s">
        <v>7</v>
      </c>
      <c r="D3" s="125"/>
      <c r="E3" s="128" t="s">
        <v>2</v>
      </c>
      <c r="F3" s="130" t="s">
        <v>3</v>
      </c>
    </row>
    <row r="4" spans="1:6">
      <c r="A4" s="123"/>
      <c r="B4" s="123"/>
      <c r="C4" s="126"/>
      <c r="D4" s="127"/>
      <c r="E4" s="129"/>
      <c r="F4" s="131"/>
    </row>
    <row r="5" spans="1:6" s="7" customFormat="1">
      <c r="A5" s="86">
        <v>1</v>
      </c>
      <c r="B5" s="87" t="s">
        <v>31</v>
      </c>
      <c r="C5" s="88">
        <v>400</v>
      </c>
      <c r="D5" s="89" t="s">
        <v>32</v>
      </c>
      <c r="E5" s="90">
        <v>1</v>
      </c>
      <c r="F5" s="90">
        <f>SUM(C5*E5)</f>
        <v>400</v>
      </c>
    </row>
    <row r="6" spans="1:6" s="7" customFormat="1">
      <c r="A6" s="86">
        <v>2</v>
      </c>
      <c r="B6" s="94" t="s">
        <v>148</v>
      </c>
      <c r="C6" s="88">
        <v>4</v>
      </c>
      <c r="D6" s="89" t="s">
        <v>14</v>
      </c>
      <c r="E6" s="95">
        <v>1590</v>
      </c>
      <c r="F6" s="90">
        <f t="shared" ref="F6:F53" si="0">SUM(C6*E6)</f>
        <v>6360</v>
      </c>
    </row>
    <row r="7" spans="1:6" s="7" customFormat="1">
      <c r="A7" s="86">
        <v>3</v>
      </c>
      <c r="B7" s="94" t="s">
        <v>33</v>
      </c>
      <c r="C7" s="88">
        <v>2</v>
      </c>
      <c r="D7" s="89" t="s">
        <v>14</v>
      </c>
      <c r="E7" s="90">
        <v>690</v>
      </c>
      <c r="F7" s="90">
        <f t="shared" si="0"/>
        <v>1380</v>
      </c>
    </row>
    <row r="8" spans="1:6" s="7" customFormat="1" ht="21.25" customHeight="1">
      <c r="A8" s="86">
        <v>4</v>
      </c>
      <c r="B8" s="94" t="s">
        <v>34</v>
      </c>
      <c r="C8" s="88">
        <v>8</v>
      </c>
      <c r="D8" s="89" t="s">
        <v>14</v>
      </c>
      <c r="E8" s="90">
        <v>390</v>
      </c>
      <c r="F8" s="90">
        <f t="shared" si="0"/>
        <v>3120</v>
      </c>
    </row>
    <row r="9" spans="1:6" s="7" customFormat="1">
      <c r="A9" s="86">
        <v>5</v>
      </c>
      <c r="B9" s="94" t="s">
        <v>35</v>
      </c>
      <c r="C9" s="88">
        <v>3</v>
      </c>
      <c r="D9" s="89" t="s">
        <v>13</v>
      </c>
      <c r="E9" s="95">
        <v>490</v>
      </c>
      <c r="F9" s="90">
        <f t="shared" si="0"/>
        <v>1470</v>
      </c>
    </row>
    <row r="10" spans="1:6" s="7" customFormat="1">
      <c r="A10" s="86">
        <v>6</v>
      </c>
      <c r="B10" s="94" t="s">
        <v>149</v>
      </c>
      <c r="C10" s="88">
        <v>6</v>
      </c>
      <c r="D10" s="89" t="s">
        <v>14</v>
      </c>
      <c r="E10" s="90">
        <v>290</v>
      </c>
      <c r="F10" s="90">
        <f t="shared" si="0"/>
        <v>1740</v>
      </c>
    </row>
    <row r="11" spans="1:6" s="7" customFormat="1">
      <c r="A11" s="86">
        <v>7</v>
      </c>
      <c r="B11" s="94" t="s">
        <v>150</v>
      </c>
      <c r="C11" s="88">
        <v>5</v>
      </c>
      <c r="D11" s="89" t="s">
        <v>14</v>
      </c>
      <c r="E11" s="90">
        <v>350</v>
      </c>
      <c r="F11" s="90">
        <f t="shared" si="0"/>
        <v>1750</v>
      </c>
    </row>
    <row r="12" spans="1:6" s="7" customFormat="1">
      <c r="A12" s="86">
        <v>8</v>
      </c>
      <c r="B12" s="94" t="s">
        <v>151</v>
      </c>
      <c r="C12" s="88">
        <v>4</v>
      </c>
      <c r="D12" s="89" t="s">
        <v>13</v>
      </c>
      <c r="E12" s="95">
        <v>990</v>
      </c>
      <c r="F12" s="90">
        <f t="shared" si="0"/>
        <v>3960</v>
      </c>
    </row>
    <row r="13" spans="1:6" s="7" customFormat="1">
      <c r="A13" s="86">
        <v>9</v>
      </c>
      <c r="B13" s="87" t="s">
        <v>152</v>
      </c>
      <c r="C13" s="96">
        <v>2</v>
      </c>
      <c r="D13" s="97" t="s">
        <v>14</v>
      </c>
      <c r="E13" s="90">
        <v>1890</v>
      </c>
      <c r="F13" s="90">
        <f t="shared" si="0"/>
        <v>3780</v>
      </c>
    </row>
    <row r="14" spans="1:6" s="7" customFormat="1">
      <c r="A14" s="86">
        <v>10</v>
      </c>
      <c r="B14" s="87" t="s">
        <v>153</v>
      </c>
      <c r="C14" s="96">
        <v>1</v>
      </c>
      <c r="D14" s="97" t="s">
        <v>14</v>
      </c>
      <c r="E14" s="90">
        <v>3990</v>
      </c>
      <c r="F14" s="90">
        <f t="shared" si="0"/>
        <v>3990</v>
      </c>
    </row>
    <row r="15" spans="1:6" s="7" customFormat="1">
      <c r="A15" s="86">
        <v>11</v>
      </c>
      <c r="B15" s="87" t="s">
        <v>154</v>
      </c>
      <c r="C15" s="96">
        <v>20</v>
      </c>
      <c r="D15" s="97" t="s">
        <v>16</v>
      </c>
      <c r="E15" s="90">
        <v>90</v>
      </c>
      <c r="F15" s="90">
        <f t="shared" si="0"/>
        <v>1800</v>
      </c>
    </row>
    <row r="16" spans="1:6" s="7" customFormat="1">
      <c r="A16" s="86">
        <v>12</v>
      </c>
      <c r="B16" s="87" t="s">
        <v>155</v>
      </c>
      <c r="C16" s="96">
        <v>5</v>
      </c>
      <c r="D16" s="97" t="s">
        <v>5</v>
      </c>
      <c r="E16" s="95">
        <v>120</v>
      </c>
      <c r="F16" s="90">
        <f t="shared" si="0"/>
        <v>600</v>
      </c>
    </row>
    <row r="17" spans="1:6" s="7" customFormat="1" ht="38.049999999999997">
      <c r="A17" s="86">
        <v>13</v>
      </c>
      <c r="B17" s="87" t="s">
        <v>156</v>
      </c>
      <c r="C17" s="96">
        <v>5</v>
      </c>
      <c r="D17" s="97" t="s">
        <v>12</v>
      </c>
      <c r="E17" s="90">
        <v>1290</v>
      </c>
      <c r="F17" s="90">
        <f t="shared" si="0"/>
        <v>6450</v>
      </c>
    </row>
    <row r="18" spans="1:6" s="7" customFormat="1">
      <c r="A18" s="86">
        <v>14</v>
      </c>
      <c r="B18" s="87" t="s">
        <v>157</v>
      </c>
      <c r="C18" s="96">
        <v>4</v>
      </c>
      <c r="D18" s="97" t="s">
        <v>14</v>
      </c>
      <c r="E18" s="90">
        <v>890</v>
      </c>
      <c r="F18" s="90">
        <f t="shared" si="0"/>
        <v>3560</v>
      </c>
    </row>
    <row r="19" spans="1:6" s="7" customFormat="1">
      <c r="A19" s="86">
        <v>15</v>
      </c>
      <c r="B19" s="87" t="s">
        <v>158</v>
      </c>
      <c r="C19" s="96">
        <v>4</v>
      </c>
      <c r="D19" s="97" t="s">
        <v>14</v>
      </c>
      <c r="E19" s="90">
        <v>1290</v>
      </c>
      <c r="F19" s="90">
        <f t="shared" si="0"/>
        <v>5160</v>
      </c>
    </row>
    <row r="20" spans="1:6" s="7" customFormat="1">
      <c r="A20" s="86">
        <v>16</v>
      </c>
      <c r="B20" s="87" t="s">
        <v>44</v>
      </c>
      <c r="C20" s="96">
        <v>2</v>
      </c>
      <c r="D20" s="97" t="s">
        <v>5</v>
      </c>
      <c r="E20" s="90">
        <v>990</v>
      </c>
      <c r="F20" s="90">
        <f t="shared" si="0"/>
        <v>1980</v>
      </c>
    </row>
    <row r="21" spans="1:6" s="7" customFormat="1">
      <c r="A21" s="86">
        <v>17</v>
      </c>
      <c r="B21" s="87" t="s">
        <v>45</v>
      </c>
      <c r="C21" s="96">
        <v>3</v>
      </c>
      <c r="D21" s="97" t="s">
        <v>5</v>
      </c>
      <c r="E21" s="90">
        <v>150</v>
      </c>
      <c r="F21" s="90">
        <f t="shared" si="0"/>
        <v>450</v>
      </c>
    </row>
    <row r="22" spans="1:6" s="7" customFormat="1">
      <c r="A22" s="86">
        <v>18</v>
      </c>
      <c r="B22" s="87" t="s">
        <v>46</v>
      </c>
      <c r="C22" s="88">
        <v>1</v>
      </c>
      <c r="D22" s="89" t="s">
        <v>14</v>
      </c>
      <c r="E22" s="90">
        <v>1990</v>
      </c>
      <c r="F22" s="90">
        <f t="shared" si="0"/>
        <v>1990</v>
      </c>
    </row>
    <row r="23" spans="1:6" s="7" customFormat="1" ht="38.049999999999997">
      <c r="A23" s="86">
        <v>19</v>
      </c>
      <c r="B23" s="87" t="s">
        <v>159</v>
      </c>
      <c r="C23" s="96">
        <v>7</v>
      </c>
      <c r="D23" s="97" t="s">
        <v>14</v>
      </c>
      <c r="E23" s="90">
        <v>6190</v>
      </c>
      <c r="F23" s="90">
        <f t="shared" si="0"/>
        <v>43330</v>
      </c>
    </row>
    <row r="24" spans="1:6" s="7" customFormat="1">
      <c r="A24" s="86">
        <v>20</v>
      </c>
      <c r="B24" s="87" t="s">
        <v>173</v>
      </c>
      <c r="C24" s="96">
        <v>2</v>
      </c>
      <c r="D24" s="97" t="s">
        <v>14</v>
      </c>
      <c r="E24" s="90">
        <v>3990</v>
      </c>
      <c r="F24" s="90">
        <f t="shared" si="0"/>
        <v>7980</v>
      </c>
    </row>
    <row r="25" spans="1:6" s="7" customFormat="1">
      <c r="A25" s="86">
        <v>21</v>
      </c>
      <c r="B25" s="87" t="s">
        <v>48</v>
      </c>
      <c r="C25" s="96">
        <v>4</v>
      </c>
      <c r="D25" s="97" t="s">
        <v>14</v>
      </c>
      <c r="E25" s="90">
        <v>250</v>
      </c>
      <c r="F25" s="90">
        <f t="shared" si="0"/>
        <v>1000</v>
      </c>
    </row>
    <row r="26" spans="1:6" s="7" customFormat="1" ht="38.049999999999997">
      <c r="A26" s="86">
        <v>22</v>
      </c>
      <c r="B26" s="87" t="s">
        <v>146</v>
      </c>
      <c r="C26" s="96">
        <v>10</v>
      </c>
      <c r="D26" s="97" t="s">
        <v>15</v>
      </c>
      <c r="E26" s="90">
        <v>190</v>
      </c>
      <c r="F26" s="90">
        <f t="shared" si="0"/>
        <v>1900</v>
      </c>
    </row>
    <row r="27" spans="1:6" s="7" customFormat="1" ht="38.049999999999997">
      <c r="A27" s="86">
        <v>23</v>
      </c>
      <c r="B27" s="87" t="s">
        <v>186</v>
      </c>
      <c r="C27" s="96">
        <v>5</v>
      </c>
      <c r="D27" s="97" t="s">
        <v>51</v>
      </c>
      <c r="E27" s="90">
        <v>120</v>
      </c>
      <c r="F27" s="90">
        <f t="shared" si="0"/>
        <v>600</v>
      </c>
    </row>
    <row r="28" spans="1:6" s="7" customFormat="1">
      <c r="A28" s="86">
        <v>24</v>
      </c>
      <c r="B28" s="87" t="s">
        <v>52</v>
      </c>
      <c r="C28" s="96">
        <v>10</v>
      </c>
      <c r="D28" s="97" t="s">
        <v>11</v>
      </c>
      <c r="E28" s="90">
        <v>190</v>
      </c>
      <c r="F28" s="90">
        <f t="shared" si="0"/>
        <v>1900</v>
      </c>
    </row>
    <row r="29" spans="1:6" s="7" customFormat="1">
      <c r="A29" s="86">
        <v>25</v>
      </c>
      <c r="B29" s="87" t="s">
        <v>53</v>
      </c>
      <c r="C29" s="96">
        <v>4</v>
      </c>
      <c r="D29" s="97" t="s">
        <v>54</v>
      </c>
      <c r="E29" s="90">
        <v>450</v>
      </c>
      <c r="F29" s="90">
        <f t="shared" si="0"/>
        <v>1800</v>
      </c>
    </row>
    <row r="30" spans="1:6" s="7" customFormat="1" ht="38.049999999999997">
      <c r="A30" s="86">
        <v>26</v>
      </c>
      <c r="B30" s="87" t="s">
        <v>160</v>
      </c>
      <c r="C30" s="96">
        <v>2</v>
      </c>
      <c r="D30" s="97" t="s">
        <v>5</v>
      </c>
      <c r="E30" s="90">
        <v>990</v>
      </c>
      <c r="F30" s="90">
        <f t="shared" si="0"/>
        <v>1980</v>
      </c>
    </row>
    <row r="31" spans="1:6" s="7" customFormat="1" ht="38.049999999999997">
      <c r="A31" s="86">
        <v>27</v>
      </c>
      <c r="B31" s="87" t="s">
        <v>161</v>
      </c>
      <c r="C31" s="96">
        <v>2</v>
      </c>
      <c r="D31" s="97" t="s">
        <v>5</v>
      </c>
      <c r="E31" s="90">
        <v>690</v>
      </c>
      <c r="F31" s="90">
        <f t="shared" si="0"/>
        <v>1380</v>
      </c>
    </row>
    <row r="32" spans="1:6" s="7" customFormat="1" ht="57.1">
      <c r="A32" s="86">
        <v>28</v>
      </c>
      <c r="B32" s="87" t="s">
        <v>56</v>
      </c>
      <c r="C32" s="96">
        <v>4</v>
      </c>
      <c r="D32" s="97" t="s">
        <v>5</v>
      </c>
      <c r="E32" s="90">
        <v>3500</v>
      </c>
      <c r="F32" s="90">
        <f t="shared" si="0"/>
        <v>14000</v>
      </c>
    </row>
    <row r="33" spans="1:6" s="7" customFormat="1">
      <c r="A33" s="86">
        <v>29</v>
      </c>
      <c r="B33" s="87" t="s">
        <v>162</v>
      </c>
      <c r="C33" s="96">
        <v>4</v>
      </c>
      <c r="D33" s="97" t="s">
        <v>14</v>
      </c>
      <c r="E33" s="90">
        <v>490</v>
      </c>
      <c r="F33" s="90">
        <f t="shared" si="0"/>
        <v>1960</v>
      </c>
    </row>
    <row r="34" spans="1:6" s="7" customFormat="1">
      <c r="A34" s="86">
        <v>30</v>
      </c>
      <c r="B34" s="87" t="s">
        <v>163</v>
      </c>
      <c r="C34" s="96">
        <v>20</v>
      </c>
      <c r="D34" s="97" t="s">
        <v>14</v>
      </c>
      <c r="E34" s="90">
        <v>25</v>
      </c>
      <c r="F34" s="90">
        <f t="shared" si="0"/>
        <v>500</v>
      </c>
    </row>
    <row r="35" spans="1:6" s="7" customFormat="1" ht="38.049999999999997">
      <c r="A35" s="86">
        <v>31</v>
      </c>
      <c r="B35" s="87" t="s">
        <v>164</v>
      </c>
      <c r="C35" s="96">
        <v>20</v>
      </c>
      <c r="D35" s="97" t="s">
        <v>14</v>
      </c>
      <c r="E35" s="90">
        <v>90</v>
      </c>
      <c r="F35" s="90">
        <f t="shared" si="0"/>
        <v>1800</v>
      </c>
    </row>
    <row r="36" spans="1:6" s="7" customFormat="1" ht="57.1">
      <c r="A36" s="86">
        <v>32</v>
      </c>
      <c r="B36" s="87" t="s">
        <v>60</v>
      </c>
      <c r="C36" s="96">
        <v>20</v>
      </c>
      <c r="D36" s="97" t="s">
        <v>14</v>
      </c>
      <c r="E36" s="90">
        <v>150</v>
      </c>
      <c r="F36" s="90">
        <f t="shared" si="0"/>
        <v>3000</v>
      </c>
    </row>
    <row r="37" spans="1:6" s="7" customFormat="1" ht="38.049999999999997">
      <c r="A37" s="86">
        <v>33</v>
      </c>
      <c r="B37" s="87" t="s">
        <v>183</v>
      </c>
      <c r="C37" s="96">
        <v>1</v>
      </c>
      <c r="D37" s="97" t="s">
        <v>61</v>
      </c>
      <c r="E37" s="90">
        <v>1290</v>
      </c>
      <c r="F37" s="90">
        <f t="shared" si="0"/>
        <v>1290</v>
      </c>
    </row>
    <row r="38" spans="1:6" s="7" customFormat="1" ht="57.1">
      <c r="A38" s="86">
        <v>34</v>
      </c>
      <c r="B38" s="87" t="s">
        <v>62</v>
      </c>
      <c r="C38" s="96">
        <v>1</v>
      </c>
      <c r="D38" s="97" t="s">
        <v>14</v>
      </c>
      <c r="E38" s="90">
        <v>1290</v>
      </c>
      <c r="F38" s="90">
        <f t="shared" si="0"/>
        <v>1290</v>
      </c>
    </row>
    <row r="39" spans="1:6" s="7" customFormat="1" ht="57.1">
      <c r="A39" s="86">
        <v>35</v>
      </c>
      <c r="B39" s="87" t="s">
        <v>63</v>
      </c>
      <c r="C39" s="96">
        <v>4</v>
      </c>
      <c r="D39" s="97" t="s">
        <v>14</v>
      </c>
      <c r="E39" s="90">
        <v>990</v>
      </c>
      <c r="F39" s="90">
        <f t="shared" si="0"/>
        <v>3960</v>
      </c>
    </row>
    <row r="40" spans="1:6" s="7" customFormat="1">
      <c r="A40" s="86">
        <v>36</v>
      </c>
      <c r="B40" s="87" t="s">
        <v>165</v>
      </c>
      <c r="C40" s="96">
        <v>3</v>
      </c>
      <c r="D40" s="97" t="s">
        <v>12</v>
      </c>
      <c r="E40" s="90">
        <v>1290</v>
      </c>
      <c r="F40" s="90">
        <f t="shared" si="0"/>
        <v>3870</v>
      </c>
    </row>
    <row r="41" spans="1:6" s="7" customFormat="1">
      <c r="A41" s="86">
        <v>37</v>
      </c>
      <c r="B41" s="87" t="s">
        <v>166</v>
      </c>
      <c r="C41" s="96">
        <v>4</v>
      </c>
      <c r="D41" s="97" t="s">
        <v>14</v>
      </c>
      <c r="E41" s="90">
        <v>690</v>
      </c>
      <c r="F41" s="90">
        <f t="shared" si="0"/>
        <v>2760</v>
      </c>
    </row>
    <row r="42" spans="1:6" s="7" customFormat="1">
      <c r="A42" s="86">
        <v>38</v>
      </c>
      <c r="B42" s="87" t="s">
        <v>167</v>
      </c>
      <c r="C42" s="96">
        <v>7</v>
      </c>
      <c r="D42" s="97" t="s">
        <v>14</v>
      </c>
      <c r="E42" s="90">
        <v>890</v>
      </c>
      <c r="F42" s="90">
        <f t="shared" si="0"/>
        <v>6230</v>
      </c>
    </row>
    <row r="43" spans="1:6" s="7" customFormat="1">
      <c r="A43" s="86">
        <v>39</v>
      </c>
      <c r="B43" s="87" t="s">
        <v>168</v>
      </c>
      <c r="C43" s="96">
        <v>2</v>
      </c>
      <c r="D43" s="97" t="s">
        <v>9</v>
      </c>
      <c r="E43" s="90">
        <v>350</v>
      </c>
      <c r="F43" s="90">
        <f t="shared" si="0"/>
        <v>700</v>
      </c>
    </row>
    <row r="44" spans="1:6" s="7" customFormat="1" ht="38.049999999999997">
      <c r="A44" s="86">
        <v>40</v>
      </c>
      <c r="B44" s="87" t="s">
        <v>85</v>
      </c>
      <c r="C44" s="100">
        <v>1</v>
      </c>
      <c r="D44" s="101" t="s">
        <v>12</v>
      </c>
      <c r="E44" s="102">
        <v>1290</v>
      </c>
      <c r="F44" s="102">
        <f t="shared" si="0"/>
        <v>1290</v>
      </c>
    </row>
    <row r="45" spans="1:6" s="7" customFormat="1">
      <c r="A45" s="105">
        <v>41</v>
      </c>
      <c r="B45" s="87" t="s">
        <v>169</v>
      </c>
      <c r="C45" s="96">
        <v>1</v>
      </c>
      <c r="D45" s="97" t="s">
        <v>13</v>
      </c>
      <c r="E45" s="90">
        <v>2990</v>
      </c>
      <c r="F45" s="90">
        <f t="shared" si="0"/>
        <v>2990</v>
      </c>
    </row>
    <row r="46" spans="1:6" s="7" customFormat="1">
      <c r="A46" s="105">
        <v>42</v>
      </c>
      <c r="B46" s="87" t="s">
        <v>177</v>
      </c>
      <c r="C46" s="96">
        <v>1</v>
      </c>
      <c r="D46" s="97" t="s">
        <v>13</v>
      </c>
      <c r="E46" s="90">
        <v>2500</v>
      </c>
      <c r="F46" s="90">
        <f t="shared" si="0"/>
        <v>2500</v>
      </c>
    </row>
    <row r="47" spans="1:6" s="7" customFormat="1">
      <c r="A47" s="105">
        <v>43</v>
      </c>
      <c r="B47" s="87" t="s">
        <v>133</v>
      </c>
      <c r="C47" s="96">
        <v>3</v>
      </c>
      <c r="D47" s="97" t="s">
        <v>14</v>
      </c>
      <c r="E47" s="90">
        <v>1290</v>
      </c>
      <c r="F47" s="90">
        <f t="shared" si="0"/>
        <v>3870</v>
      </c>
    </row>
    <row r="48" spans="1:6" s="7" customFormat="1">
      <c r="A48" s="86">
        <v>44</v>
      </c>
      <c r="B48" s="87" t="s">
        <v>170</v>
      </c>
      <c r="C48" s="96">
        <v>200</v>
      </c>
      <c r="D48" s="97" t="s">
        <v>17</v>
      </c>
      <c r="E48" s="90">
        <v>65</v>
      </c>
      <c r="F48" s="90">
        <f t="shared" si="0"/>
        <v>13000</v>
      </c>
    </row>
    <row r="49" spans="1:6" s="7" customFormat="1">
      <c r="A49" s="86">
        <v>45</v>
      </c>
      <c r="B49" s="87" t="s">
        <v>121</v>
      </c>
      <c r="C49" s="96">
        <v>30</v>
      </c>
      <c r="D49" s="97" t="s">
        <v>17</v>
      </c>
      <c r="E49" s="90">
        <v>65</v>
      </c>
      <c r="F49" s="90">
        <f t="shared" si="0"/>
        <v>1950</v>
      </c>
    </row>
    <row r="50" spans="1:6" s="8" customFormat="1">
      <c r="A50" s="13">
        <v>46</v>
      </c>
      <c r="B50" s="11" t="s">
        <v>207</v>
      </c>
      <c r="C50" s="50">
        <v>4</v>
      </c>
      <c r="D50" s="51" t="s">
        <v>211</v>
      </c>
      <c r="E50" s="54">
        <v>3990</v>
      </c>
      <c r="F50" s="54">
        <f t="shared" si="0"/>
        <v>15960</v>
      </c>
    </row>
    <row r="51" spans="1:6" s="8" customFormat="1">
      <c r="A51" s="13">
        <v>47</v>
      </c>
      <c r="B51" s="11" t="s">
        <v>208</v>
      </c>
      <c r="C51" s="50">
        <v>4</v>
      </c>
      <c r="D51" s="51" t="s">
        <v>211</v>
      </c>
      <c r="E51" s="54">
        <v>4190</v>
      </c>
      <c r="F51" s="73">
        <f t="shared" si="0"/>
        <v>16760</v>
      </c>
    </row>
    <row r="52" spans="1:6" s="8" customFormat="1">
      <c r="A52" s="13">
        <v>48</v>
      </c>
      <c r="B52" s="11" t="s">
        <v>209</v>
      </c>
      <c r="C52" s="50">
        <v>4</v>
      </c>
      <c r="D52" s="51" t="s">
        <v>211</v>
      </c>
      <c r="E52" s="54">
        <v>4190</v>
      </c>
      <c r="F52" s="73">
        <f t="shared" si="0"/>
        <v>16760</v>
      </c>
    </row>
    <row r="53" spans="1:6" s="8" customFormat="1">
      <c r="A53" s="13">
        <v>49</v>
      </c>
      <c r="B53" s="11" t="s">
        <v>210</v>
      </c>
      <c r="C53" s="50">
        <v>4</v>
      </c>
      <c r="D53" s="51" t="s">
        <v>211</v>
      </c>
      <c r="E53" s="54">
        <v>4190</v>
      </c>
      <c r="F53" s="73">
        <f t="shared" si="0"/>
        <v>16760</v>
      </c>
    </row>
    <row r="54" spans="1:6" s="7" customFormat="1">
      <c r="A54" s="108"/>
      <c r="B54" s="87"/>
      <c r="C54" s="96"/>
      <c r="D54" s="97"/>
      <c r="E54" s="90"/>
      <c r="F54" s="90"/>
    </row>
    <row r="55" spans="1:6" s="7" customFormat="1">
      <c r="A55" s="108"/>
      <c r="B55" s="80" t="s">
        <v>212</v>
      </c>
      <c r="C55" s="117" t="s">
        <v>4</v>
      </c>
      <c r="D55" s="118"/>
      <c r="E55" s="119"/>
      <c r="F55" s="110">
        <f>SUM(F5:F54)</f>
        <v>245010</v>
      </c>
    </row>
    <row r="57" spans="1:6" s="1" customFormat="1" ht="21.1">
      <c r="A57" s="4" t="s">
        <v>219</v>
      </c>
      <c r="B57" s="4"/>
      <c r="C57" s="4"/>
      <c r="D57" s="4"/>
      <c r="E57" s="4"/>
      <c r="F57" s="4"/>
    </row>
    <row r="58" spans="1:6" s="1" customFormat="1" ht="21.1">
      <c r="A58" s="4"/>
      <c r="C58" s="5"/>
      <c r="D58" s="2"/>
      <c r="E58" s="3"/>
      <c r="F58" s="3"/>
    </row>
    <row r="59" spans="1:6" s="1" customFormat="1" ht="21.1">
      <c r="B59" s="36" t="s">
        <v>220</v>
      </c>
      <c r="C59" s="5"/>
      <c r="D59" s="2"/>
      <c r="E59" s="3"/>
      <c r="F59" s="3"/>
    </row>
    <row r="60" spans="1:6" s="1" customFormat="1" ht="21.1">
      <c r="B60" s="36" t="s">
        <v>223</v>
      </c>
      <c r="C60" s="5"/>
      <c r="D60" s="2"/>
      <c r="E60" s="3"/>
      <c r="F60" s="3"/>
    </row>
    <row r="61" spans="1:6" s="1" customFormat="1" ht="21.1">
      <c r="B61" s="36" t="s">
        <v>224</v>
      </c>
      <c r="C61" s="5"/>
      <c r="D61" s="2"/>
      <c r="E61" s="3"/>
      <c r="F61" s="3"/>
    </row>
    <row r="62" spans="1:6" s="3" customFormat="1" ht="23.3" customHeight="1">
      <c r="A62" s="1"/>
      <c r="B62" s="37" t="s">
        <v>221</v>
      </c>
      <c r="C62" s="5"/>
      <c r="D62" s="2"/>
    </row>
    <row r="63" spans="1:6" s="3" customFormat="1" ht="21.1">
      <c r="A63" s="1"/>
      <c r="B63" s="36" t="s">
        <v>222</v>
      </c>
      <c r="C63" s="2"/>
      <c r="D63" s="43"/>
      <c r="E63" s="44"/>
    </row>
    <row r="64" spans="1:6" s="3" customFormat="1" ht="21.1">
      <c r="A64" s="1"/>
      <c r="B64" s="36" t="s">
        <v>225</v>
      </c>
      <c r="C64" s="2"/>
    </row>
  </sheetData>
  <mergeCells count="8">
    <mergeCell ref="C55:E55"/>
    <mergeCell ref="A1:F1"/>
    <mergeCell ref="A2:F2"/>
    <mergeCell ref="A3:A4"/>
    <mergeCell ref="B3:B4"/>
    <mergeCell ref="C3:D4"/>
    <mergeCell ref="E3:E4"/>
    <mergeCell ref="F3:F4"/>
  </mergeCells>
  <pageMargins left="0.42" right="0.19685039370078741" top="0.39370078740157483" bottom="0.19685039370078741" header="0.31496062992125984" footer="0.19685039370078741"/>
  <pageSetup paperSize="9" scale="9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AE1D-2B80-4E33-B470-5E5A6FF494D8}">
  <dimension ref="A1:G107"/>
  <sheetViews>
    <sheetView tabSelected="1" zoomScale="130" zoomScaleNormal="130" workbookViewId="0">
      <selection activeCell="B86" sqref="B86"/>
    </sheetView>
  </sheetViews>
  <sheetFormatPr defaultColWidth="9" defaultRowHeight="19.05"/>
  <cols>
    <col min="1" max="1" width="5.25" style="27" customWidth="1"/>
    <col min="2" max="2" width="38.875" style="25" bestFit="1" customWidth="1"/>
    <col min="3" max="3" width="57.625" style="25" customWidth="1"/>
    <col min="4" max="4" width="5.625" style="33" customWidth="1"/>
    <col min="5" max="5" width="8" style="34" customWidth="1"/>
    <col min="6" max="6" width="9" style="25"/>
    <col min="7" max="7" width="12.625" style="25" bestFit="1" customWidth="1"/>
    <col min="8" max="16384" width="9" style="25"/>
  </cols>
  <sheetData>
    <row r="1" spans="1:5">
      <c r="A1" s="140" t="s">
        <v>217</v>
      </c>
      <c r="B1" s="140"/>
      <c r="C1" s="140"/>
      <c r="D1" s="140"/>
      <c r="E1" s="140"/>
    </row>
    <row r="2" spans="1:5">
      <c r="A2" s="140" t="s">
        <v>206</v>
      </c>
      <c r="B2" s="140"/>
      <c r="C2" s="140"/>
      <c r="D2" s="140"/>
      <c r="E2" s="140"/>
    </row>
    <row r="3" spans="1:5">
      <c r="A3" s="15"/>
      <c r="B3" s="15"/>
      <c r="C3" s="15"/>
      <c r="D3" s="15"/>
      <c r="E3" s="15"/>
    </row>
    <row r="4" spans="1:5" s="26" customFormat="1">
      <c r="A4" s="134" t="s">
        <v>0</v>
      </c>
      <c r="B4" s="134" t="s">
        <v>1</v>
      </c>
      <c r="C4" s="134" t="s">
        <v>6</v>
      </c>
      <c r="D4" s="136" t="s">
        <v>7</v>
      </c>
      <c r="E4" s="137"/>
    </row>
    <row r="5" spans="1:5" s="26" customFormat="1">
      <c r="A5" s="135"/>
      <c r="B5" s="135"/>
      <c r="C5" s="135"/>
      <c r="D5" s="138"/>
      <c r="E5" s="139"/>
    </row>
    <row r="6" spans="1:5" s="27" customFormat="1">
      <c r="A6" s="13">
        <v>1</v>
      </c>
      <c r="B6" s="11" t="s">
        <v>31</v>
      </c>
      <c r="C6" s="12" t="s">
        <v>68</v>
      </c>
      <c r="D6" s="46">
        <v>400</v>
      </c>
      <c r="E6" s="47" t="s">
        <v>32</v>
      </c>
    </row>
    <row r="7" spans="1:5" s="27" customFormat="1" ht="38.049999999999997">
      <c r="A7" s="13">
        <v>2</v>
      </c>
      <c r="B7" s="9" t="s">
        <v>171</v>
      </c>
      <c r="C7" s="48" t="s">
        <v>69</v>
      </c>
      <c r="D7" s="46">
        <v>4</v>
      </c>
      <c r="E7" s="47" t="s">
        <v>14</v>
      </c>
    </row>
    <row r="8" spans="1:5" s="27" customFormat="1">
      <c r="A8" s="13">
        <v>3</v>
      </c>
      <c r="B8" s="9" t="s">
        <v>33</v>
      </c>
      <c r="C8" s="12" t="s">
        <v>70</v>
      </c>
      <c r="D8" s="46">
        <v>2</v>
      </c>
      <c r="E8" s="47" t="s">
        <v>14</v>
      </c>
    </row>
    <row r="9" spans="1:5" s="27" customFormat="1">
      <c r="A9" s="13">
        <v>4</v>
      </c>
      <c r="B9" s="9" t="s">
        <v>34</v>
      </c>
      <c r="C9" s="12" t="s">
        <v>71</v>
      </c>
      <c r="D9" s="46">
        <v>8</v>
      </c>
      <c r="E9" s="47" t="s">
        <v>14</v>
      </c>
    </row>
    <row r="10" spans="1:5" s="27" customFormat="1" ht="38.049999999999997">
      <c r="A10" s="13">
        <v>5</v>
      </c>
      <c r="B10" s="9" t="s">
        <v>35</v>
      </c>
      <c r="C10" s="48" t="s">
        <v>72</v>
      </c>
      <c r="D10" s="46">
        <v>3</v>
      </c>
      <c r="E10" s="47" t="s">
        <v>13</v>
      </c>
    </row>
    <row r="11" spans="1:5" s="27" customFormat="1">
      <c r="A11" s="13">
        <v>6</v>
      </c>
      <c r="B11" s="9" t="s">
        <v>73</v>
      </c>
      <c r="C11" s="12" t="s">
        <v>74</v>
      </c>
      <c r="D11" s="46">
        <v>6</v>
      </c>
      <c r="E11" s="47" t="s">
        <v>14</v>
      </c>
    </row>
    <row r="12" spans="1:5" s="27" customFormat="1">
      <c r="A12" s="13">
        <v>7</v>
      </c>
      <c r="B12" s="9" t="s">
        <v>75</v>
      </c>
      <c r="C12" s="12" t="s">
        <v>76</v>
      </c>
      <c r="D12" s="46">
        <v>5</v>
      </c>
      <c r="E12" s="47" t="s">
        <v>14</v>
      </c>
    </row>
    <row r="13" spans="1:5" s="27" customFormat="1">
      <c r="A13" s="13">
        <v>8</v>
      </c>
      <c r="B13" s="9" t="s">
        <v>77</v>
      </c>
      <c r="C13" s="49" t="s">
        <v>78</v>
      </c>
      <c r="D13" s="46">
        <v>4</v>
      </c>
      <c r="E13" s="47" t="s">
        <v>13</v>
      </c>
    </row>
    <row r="14" spans="1:5" s="27" customFormat="1" ht="38.049999999999997">
      <c r="A14" s="13">
        <v>9</v>
      </c>
      <c r="B14" s="11" t="s">
        <v>152</v>
      </c>
      <c r="C14" s="12" t="s">
        <v>79</v>
      </c>
      <c r="D14" s="50">
        <v>2</v>
      </c>
      <c r="E14" s="51" t="s">
        <v>14</v>
      </c>
    </row>
    <row r="15" spans="1:5" s="27" customFormat="1" ht="38.049999999999997">
      <c r="A15" s="13">
        <v>10</v>
      </c>
      <c r="B15" s="11" t="s">
        <v>80</v>
      </c>
      <c r="C15" s="12" t="s">
        <v>81</v>
      </c>
      <c r="D15" s="50">
        <v>1</v>
      </c>
      <c r="E15" s="51" t="s">
        <v>14</v>
      </c>
    </row>
    <row r="16" spans="1:5" s="27" customFormat="1">
      <c r="A16" s="13">
        <v>11</v>
      </c>
      <c r="B16" s="11" t="s">
        <v>128</v>
      </c>
      <c r="C16" s="12" t="s">
        <v>82</v>
      </c>
      <c r="D16" s="50">
        <v>20</v>
      </c>
      <c r="E16" s="51" t="s">
        <v>16</v>
      </c>
    </row>
    <row r="17" spans="1:7" s="27" customFormat="1">
      <c r="A17" s="13">
        <v>12</v>
      </c>
      <c r="B17" s="11" t="s">
        <v>83</v>
      </c>
      <c r="C17" s="49" t="s">
        <v>84</v>
      </c>
      <c r="D17" s="50">
        <v>5</v>
      </c>
      <c r="E17" s="51" t="s">
        <v>5</v>
      </c>
    </row>
    <row r="18" spans="1:7" s="27" customFormat="1" ht="95.1">
      <c r="A18" s="13">
        <v>13</v>
      </c>
      <c r="B18" s="11" t="s">
        <v>85</v>
      </c>
      <c r="C18" s="12" t="s">
        <v>188</v>
      </c>
      <c r="D18" s="50">
        <v>5</v>
      </c>
      <c r="E18" s="51" t="s">
        <v>12</v>
      </c>
    </row>
    <row r="19" spans="1:7" s="27" customFormat="1">
      <c r="A19" s="13">
        <v>14</v>
      </c>
      <c r="B19" s="11" t="s">
        <v>86</v>
      </c>
      <c r="C19" s="12" t="s">
        <v>87</v>
      </c>
      <c r="D19" s="50">
        <v>4</v>
      </c>
      <c r="E19" s="51" t="s">
        <v>14</v>
      </c>
      <c r="F19" s="27" t="s">
        <v>27</v>
      </c>
    </row>
    <row r="20" spans="1:7" s="27" customFormat="1">
      <c r="A20" s="13">
        <v>15</v>
      </c>
      <c r="B20" s="11" t="s">
        <v>88</v>
      </c>
      <c r="C20" s="12" t="s">
        <v>89</v>
      </c>
      <c r="D20" s="50">
        <v>4</v>
      </c>
      <c r="E20" s="51" t="s">
        <v>14</v>
      </c>
    </row>
    <row r="21" spans="1:7" s="27" customFormat="1">
      <c r="A21" s="13">
        <v>16</v>
      </c>
      <c r="B21" s="11" t="s">
        <v>90</v>
      </c>
      <c r="C21" s="49" t="s">
        <v>91</v>
      </c>
      <c r="D21" s="50">
        <v>2</v>
      </c>
      <c r="E21" s="51" t="s">
        <v>5</v>
      </c>
    </row>
    <row r="22" spans="1:7" s="27" customFormat="1" ht="38.049999999999997">
      <c r="A22" s="13">
        <v>17</v>
      </c>
      <c r="B22" s="11" t="s">
        <v>92</v>
      </c>
      <c r="C22" s="12" t="s">
        <v>93</v>
      </c>
      <c r="D22" s="50">
        <v>3</v>
      </c>
      <c r="E22" s="51" t="s">
        <v>5</v>
      </c>
    </row>
    <row r="23" spans="1:7" s="27" customFormat="1" ht="38.049999999999997">
      <c r="A23" s="13">
        <v>18</v>
      </c>
      <c r="B23" s="11" t="s">
        <v>218</v>
      </c>
      <c r="C23" s="12" t="s">
        <v>94</v>
      </c>
      <c r="D23" s="46">
        <v>1</v>
      </c>
      <c r="E23" s="47" t="s">
        <v>14</v>
      </c>
    </row>
    <row r="24" spans="1:7" s="27" customFormat="1" ht="57.1">
      <c r="A24" s="13">
        <v>19</v>
      </c>
      <c r="B24" s="11" t="s">
        <v>172</v>
      </c>
      <c r="C24" s="12" t="s">
        <v>95</v>
      </c>
      <c r="D24" s="50">
        <v>7</v>
      </c>
      <c r="E24" s="51" t="s">
        <v>14</v>
      </c>
    </row>
    <row r="25" spans="1:7" s="27" customFormat="1" ht="38.049999999999997">
      <c r="A25" s="13">
        <v>20</v>
      </c>
      <c r="B25" s="11" t="s">
        <v>173</v>
      </c>
      <c r="C25" s="49" t="s">
        <v>96</v>
      </c>
      <c r="D25" s="50">
        <v>2</v>
      </c>
      <c r="E25" s="51" t="s">
        <v>14</v>
      </c>
    </row>
    <row r="26" spans="1:7" s="27" customFormat="1" ht="38.049999999999997">
      <c r="A26" s="13">
        <v>21</v>
      </c>
      <c r="B26" s="11" t="s">
        <v>48</v>
      </c>
      <c r="C26" s="12" t="s">
        <v>97</v>
      </c>
      <c r="D26" s="50">
        <v>4</v>
      </c>
      <c r="E26" s="51" t="s">
        <v>14</v>
      </c>
    </row>
    <row r="27" spans="1:7" ht="38.049999999999997">
      <c r="A27" s="13">
        <v>22</v>
      </c>
      <c r="B27" s="11" t="s">
        <v>49</v>
      </c>
      <c r="C27" s="12" t="s">
        <v>98</v>
      </c>
      <c r="D27" s="50">
        <v>10</v>
      </c>
      <c r="E27" s="51" t="s">
        <v>15</v>
      </c>
      <c r="G27" s="32"/>
    </row>
    <row r="28" spans="1:7" ht="38.049999999999997">
      <c r="A28" s="13">
        <v>23</v>
      </c>
      <c r="B28" s="11" t="s">
        <v>50</v>
      </c>
      <c r="C28" s="52" t="s">
        <v>99</v>
      </c>
      <c r="D28" s="50">
        <v>5</v>
      </c>
      <c r="E28" s="51" t="s">
        <v>51</v>
      </c>
      <c r="G28" s="32"/>
    </row>
    <row r="29" spans="1:7">
      <c r="A29" s="13">
        <v>24</v>
      </c>
      <c r="B29" s="11" t="s">
        <v>52</v>
      </c>
      <c r="C29" s="49" t="s">
        <v>100</v>
      </c>
      <c r="D29" s="50">
        <v>10</v>
      </c>
      <c r="E29" s="51" t="s">
        <v>11</v>
      </c>
      <c r="G29" s="32"/>
    </row>
    <row r="30" spans="1:7">
      <c r="A30" s="81"/>
      <c r="B30" s="82"/>
      <c r="C30" s="85"/>
      <c r="D30" s="83"/>
      <c r="E30" s="84"/>
      <c r="G30" s="32"/>
    </row>
    <row r="31" spans="1:7" s="14" customFormat="1" ht="20.05" customHeight="1">
      <c r="A31" s="17"/>
      <c r="B31" s="17"/>
      <c r="C31" s="45" t="s">
        <v>28</v>
      </c>
      <c r="D31" s="20"/>
      <c r="E31" s="21"/>
      <c r="F31" s="22"/>
      <c r="G31" s="16"/>
    </row>
    <row r="32" spans="1:7" s="14" customFormat="1" ht="20.05" customHeight="1">
      <c r="A32" s="17"/>
      <c r="B32" s="18"/>
      <c r="C32" s="19"/>
      <c r="D32" s="20"/>
      <c r="E32" s="21"/>
      <c r="F32" s="22"/>
      <c r="G32" s="16"/>
    </row>
    <row r="33" spans="1:7" s="26" customFormat="1">
      <c r="A33" s="134" t="s">
        <v>0</v>
      </c>
      <c r="B33" s="134" t="s">
        <v>1</v>
      </c>
      <c r="C33" s="134" t="s">
        <v>6</v>
      </c>
      <c r="D33" s="136" t="s">
        <v>7</v>
      </c>
      <c r="E33" s="137"/>
    </row>
    <row r="34" spans="1:7" s="26" customFormat="1">
      <c r="A34" s="135"/>
      <c r="B34" s="135"/>
      <c r="C34" s="135"/>
      <c r="D34" s="138"/>
      <c r="E34" s="139"/>
    </row>
    <row r="35" spans="1:7">
      <c r="A35" s="13">
        <v>25</v>
      </c>
      <c r="B35" s="11" t="s">
        <v>53</v>
      </c>
      <c r="C35" s="12" t="s">
        <v>101</v>
      </c>
      <c r="D35" s="50">
        <v>4</v>
      </c>
      <c r="E35" s="51" t="s">
        <v>54</v>
      </c>
      <c r="G35" s="32"/>
    </row>
    <row r="36" spans="1:7" ht="38.049999999999997">
      <c r="A36" s="13">
        <v>26</v>
      </c>
      <c r="B36" s="11" t="s">
        <v>160</v>
      </c>
      <c r="C36" s="12" t="s">
        <v>102</v>
      </c>
      <c r="D36" s="50">
        <v>2</v>
      </c>
      <c r="E36" s="51" t="s">
        <v>5</v>
      </c>
      <c r="G36" s="32"/>
    </row>
    <row r="37" spans="1:7" ht="57.1">
      <c r="A37" s="13">
        <v>27</v>
      </c>
      <c r="B37" s="11" t="s">
        <v>174</v>
      </c>
      <c r="C37" s="12" t="s">
        <v>103</v>
      </c>
      <c r="D37" s="50">
        <v>2</v>
      </c>
      <c r="E37" s="51" t="s">
        <v>5</v>
      </c>
      <c r="G37" s="32"/>
    </row>
    <row r="38" spans="1:7" ht="76.099999999999994">
      <c r="A38" s="13">
        <v>28</v>
      </c>
      <c r="B38" s="11" t="s">
        <v>56</v>
      </c>
      <c r="C38" s="49" t="s">
        <v>104</v>
      </c>
      <c r="D38" s="50">
        <v>4</v>
      </c>
      <c r="E38" s="51" t="s">
        <v>5</v>
      </c>
      <c r="G38" s="32"/>
    </row>
    <row r="39" spans="1:7" ht="38.049999999999997">
      <c r="A39" s="13">
        <v>29</v>
      </c>
      <c r="B39" s="11" t="s">
        <v>162</v>
      </c>
      <c r="C39" s="12" t="s">
        <v>105</v>
      </c>
      <c r="D39" s="50">
        <v>4</v>
      </c>
      <c r="E39" s="51" t="s">
        <v>14</v>
      </c>
      <c r="G39" s="32"/>
    </row>
    <row r="40" spans="1:7">
      <c r="A40" s="13">
        <v>30</v>
      </c>
      <c r="B40" s="11" t="s">
        <v>163</v>
      </c>
      <c r="C40" s="12" t="s">
        <v>106</v>
      </c>
      <c r="D40" s="50">
        <v>20</v>
      </c>
      <c r="E40" s="51" t="s">
        <v>14</v>
      </c>
      <c r="G40" s="32"/>
    </row>
    <row r="41" spans="1:7" ht="38.049999999999997">
      <c r="A41" s="13">
        <v>31</v>
      </c>
      <c r="B41" s="11" t="s">
        <v>175</v>
      </c>
      <c r="C41" s="12" t="s">
        <v>107</v>
      </c>
      <c r="D41" s="50">
        <v>20</v>
      </c>
      <c r="E41" s="51" t="s">
        <v>14</v>
      </c>
    </row>
    <row r="42" spans="1:7" ht="76.099999999999994">
      <c r="A42" s="13">
        <v>32</v>
      </c>
      <c r="B42" s="11" t="s">
        <v>60</v>
      </c>
      <c r="C42" s="49" t="s">
        <v>108</v>
      </c>
      <c r="D42" s="50">
        <v>20</v>
      </c>
      <c r="E42" s="51" t="s">
        <v>14</v>
      </c>
    </row>
    <row r="43" spans="1:7" ht="95.1">
      <c r="A43" s="13">
        <v>33</v>
      </c>
      <c r="B43" s="11" t="s">
        <v>184</v>
      </c>
      <c r="C43" s="49" t="s">
        <v>187</v>
      </c>
      <c r="D43" s="50">
        <v>1</v>
      </c>
      <c r="E43" s="51" t="s">
        <v>61</v>
      </c>
    </row>
    <row r="44" spans="1:7" ht="76.099999999999994">
      <c r="A44" s="13">
        <v>34</v>
      </c>
      <c r="B44" s="11" t="s">
        <v>62</v>
      </c>
      <c r="C44" s="49" t="s">
        <v>109</v>
      </c>
      <c r="D44" s="50">
        <v>1</v>
      </c>
      <c r="E44" s="51" t="s">
        <v>14</v>
      </c>
    </row>
    <row r="45" spans="1:7" ht="57.1">
      <c r="A45" s="13">
        <v>35</v>
      </c>
      <c r="B45" s="11" t="s">
        <v>63</v>
      </c>
      <c r="C45" s="12" t="s">
        <v>110</v>
      </c>
      <c r="D45" s="50">
        <v>4</v>
      </c>
      <c r="E45" s="51" t="s">
        <v>14</v>
      </c>
    </row>
    <row r="46" spans="1:7" ht="95.1">
      <c r="A46" s="13">
        <v>36</v>
      </c>
      <c r="B46" s="11" t="s">
        <v>111</v>
      </c>
      <c r="C46" s="12" t="s">
        <v>112</v>
      </c>
      <c r="D46" s="50">
        <v>3</v>
      </c>
      <c r="E46" s="51" t="s">
        <v>12</v>
      </c>
    </row>
    <row r="47" spans="1:7" ht="76.099999999999994">
      <c r="A47" s="13">
        <v>37</v>
      </c>
      <c r="B47" s="11" t="s">
        <v>122</v>
      </c>
      <c r="C47" s="12" t="s">
        <v>113</v>
      </c>
      <c r="D47" s="50">
        <v>4</v>
      </c>
      <c r="E47" s="51" t="s">
        <v>14</v>
      </c>
    </row>
    <row r="48" spans="1:7">
      <c r="A48" s="81"/>
      <c r="B48" s="82"/>
      <c r="C48" s="82"/>
      <c r="D48" s="83"/>
      <c r="E48" s="84"/>
    </row>
    <row r="49" spans="1:7">
      <c r="A49" s="81"/>
      <c r="B49" s="82"/>
      <c r="C49" s="82"/>
      <c r="D49" s="83"/>
      <c r="E49" s="84"/>
    </row>
    <row r="50" spans="1:7" s="14" customFormat="1" ht="20.05" customHeight="1">
      <c r="A50" s="17"/>
      <c r="B50" s="17"/>
      <c r="C50" s="45" t="s">
        <v>29</v>
      </c>
      <c r="D50" s="20"/>
      <c r="E50" s="21"/>
      <c r="F50" s="22"/>
      <c r="G50" s="16"/>
    </row>
    <row r="51" spans="1:7" s="14" customFormat="1" ht="20.05" customHeight="1">
      <c r="A51" s="17"/>
      <c r="B51" s="18"/>
      <c r="C51" s="19"/>
      <c r="D51" s="20"/>
      <c r="E51" s="21"/>
      <c r="F51" s="22"/>
      <c r="G51" s="16"/>
    </row>
    <row r="52" spans="1:7" s="26" customFormat="1">
      <c r="A52" s="134" t="s">
        <v>0</v>
      </c>
      <c r="B52" s="134" t="s">
        <v>1</v>
      </c>
      <c r="C52" s="134" t="s">
        <v>6</v>
      </c>
      <c r="D52" s="136" t="s">
        <v>7</v>
      </c>
      <c r="E52" s="137"/>
    </row>
    <row r="53" spans="1:7" s="26" customFormat="1">
      <c r="A53" s="135"/>
      <c r="B53" s="135"/>
      <c r="C53" s="135"/>
      <c r="D53" s="138"/>
      <c r="E53" s="139"/>
    </row>
    <row r="54" spans="1:7" ht="76.099999999999994">
      <c r="A54" s="13">
        <v>38</v>
      </c>
      <c r="B54" s="11" t="s">
        <v>176</v>
      </c>
      <c r="C54" s="12" t="s">
        <v>114</v>
      </c>
      <c r="D54" s="50">
        <v>7</v>
      </c>
      <c r="E54" s="51" t="s">
        <v>14</v>
      </c>
      <c r="G54" s="32"/>
    </row>
    <row r="55" spans="1:7" ht="76.099999999999994">
      <c r="A55" s="13">
        <v>39</v>
      </c>
      <c r="B55" s="11" t="s">
        <v>115</v>
      </c>
      <c r="C55" s="12" t="s">
        <v>116</v>
      </c>
      <c r="D55" s="50">
        <v>2</v>
      </c>
      <c r="E55" s="51" t="s">
        <v>9</v>
      </c>
      <c r="G55" s="32"/>
    </row>
    <row r="56" spans="1:7" s="27" customFormat="1" ht="76.099999999999994">
      <c r="A56" s="13">
        <v>40</v>
      </c>
      <c r="B56" s="11" t="s">
        <v>85</v>
      </c>
      <c r="C56" s="12" t="s">
        <v>189</v>
      </c>
      <c r="D56" s="71">
        <v>1</v>
      </c>
      <c r="E56" s="72" t="s">
        <v>12</v>
      </c>
    </row>
    <row r="57" spans="1:7" ht="171.2">
      <c r="A57" s="13">
        <v>41</v>
      </c>
      <c r="B57" s="11" t="s">
        <v>117</v>
      </c>
      <c r="C57" s="12" t="s">
        <v>190</v>
      </c>
      <c r="D57" s="50">
        <v>1</v>
      </c>
      <c r="E57" s="51" t="s">
        <v>13</v>
      </c>
    </row>
    <row r="58" spans="1:7" ht="76.099999999999994">
      <c r="A58" s="13">
        <v>42</v>
      </c>
      <c r="B58" s="11" t="s">
        <v>118</v>
      </c>
      <c r="C58" s="12" t="s">
        <v>119</v>
      </c>
      <c r="D58" s="50">
        <v>1</v>
      </c>
      <c r="E58" s="51" t="s">
        <v>13</v>
      </c>
    </row>
    <row r="59" spans="1:7" ht="133.15">
      <c r="A59" s="13">
        <v>43</v>
      </c>
      <c r="B59" s="11" t="s">
        <v>133</v>
      </c>
      <c r="C59" s="48" t="s">
        <v>180</v>
      </c>
      <c r="D59" s="50">
        <v>3</v>
      </c>
      <c r="E59" s="51" t="s">
        <v>14</v>
      </c>
    </row>
    <row r="60" spans="1:7" ht="38.049999999999997">
      <c r="A60" s="13">
        <v>44</v>
      </c>
      <c r="B60" s="11" t="s">
        <v>120</v>
      </c>
      <c r="C60" s="28" t="s">
        <v>18</v>
      </c>
      <c r="D60" s="50">
        <v>200</v>
      </c>
      <c r="E60" s="51" t="s">
        <v>17</v>
      </c>
      <c r="G60" s="32"/>
    </row>
    <row r="61" spans="1:7" ht="38.049999999999997">
      <c r="A61" s="13">
        <v>45</v>
      </c>
      <c r="B61" s="11" t="s">
        <v>121</v>
      </c>
      <c r="C61" s="28" t="s">
        <v>19</v>
      </c>
      <c r="D61" s="50">
        <v>30</v>
      </c>
      <c r="E61" s="51" t="s">
        <v>17</v>
      </c>
    </row>
    <row r="62" spans="1:7" ht="76.099999999999994">
      <c r="A62" s="13">
        <v>46</v>
      </c>
      <c r="B62" s="11" t="s">
        <v>207</v>
      </c>
      <c r="C62" s="23" t="s">
        <v>216</v>
      </c>
      <c r="D62" s="50">
        <v>4</v>
      </c>
      <c r="E62" s="51" t="s">
        <v>211</v>
      </c>
    </row>
    <row r="63" spans="1:7">
      <c r="A63" s="81"/>
      <c r="B63" s="82"/>
      <c r="C63" s="45"/>
      <c r="D63" s="83"/>
      <c r="E63" s="84"/>
    </row>
    <row r="64" spans="1:7">
      <c r="A64" s="81"/>
      <c r="B64" s="82"/>
      <c r="C64" s="45"/>
      <c r="D64" s="83"/>
      <c r="E64" s="84"/>
    </row>
    <row r="65" spans="1:7" s="14" customFormat="1" ht="20.05" customHeight="1">
      <c r="A65" s="17"/>
      <c r="B65" s="17"/>
      <c r="C65" s="45" t="s">
        <v>30</v>
      </c>
      <c r="D65" s="20"/>
      <c r="E65" s="21"/>
      <c r="F65" s="22"/>
      <c r="G65" s="16"/>
    </row>
    <row r="66" spans="1:7" s="14" customFormat="1" ht="20.05" customHeight="1">
      <c r="A66" s="17"/>
      <c r="B66" s="18"/>
      <c r="C66" s="19"/>
      <c r="D66" s="20"/>
      <c r="E66" s="21"/>
      <c r="F66" s="22"/>
      <c r="G66" s="16"/>
    </row>
    <row r="67" spans="1:7" s="26" customFormat="1">
      <c r="A67" s="134" t="s">
        <v>0</v>
      </c>
      <c r="B67" s="134" t="s">
        <v>1</v>
      </c>
      <c r="C67" s="134" t="s">
        <v>6</v>
      </c>
      <c r="D67" s="136" t="s">
        <v>7</v>
      </c>
      <c r="E67" s="137"/>
    </row>
    <row r="68" spans="1:7" s="26" customFormat="1">
      <c r="A68" s="135"/>
      <c r="B68" s="135"/>
      <c r="C68" s="135"/>
      <c r="D68" s="138"/>
      <c r="E68" s="139"/>
    </row>
    <row r="69" spans="1:7" ht="76.099999999999994">
      <c r="A69" s="13">
        <v>47</v>
      </c>
      <c r="B69" s="11" t="s">
        <v>208</v>
      </c>
      <c r="C69" s="28" t="s">
        <v>213</v>
      </c>
      <c r="D69" s="50">
        <v>4</v>
      </c>
      <c r="E69" s="51" t="s">
        <v>211</v>
      </c>
    </row>
    <row r="70" spans="1:7" ht="76.099999999999994">
      <c r="A70" s="13">
        <v>48</v>
      </c>
      <c r="B70" s="11" t="s">
        <v>209</v>
      </c>
      <c r="C70" s="28" t="s">
        <v>214</v>
      </c>
      <c r="D70" s="50">
        <v>4</v>
      </c>
      <c r="E70" s="51" t="s">
        <v>211</v>
      </c>
    </row>
    <row r="71" spans="1:7" ht="76.099999999999994">
      <c r="A71" s="13">
        <v>49</v>
      </c>
      <c r="B71" s="11" t="s">
        <v>210</v>
      </c>
      <c r="C71" s="28" t="s">
        <v>215</v>
      </c>
      <c r="D71" s="50">
        <v>4</v>
      </c>
      <c r="E71" s="51" t="s">
        <v>211</v>
      </c>
    </row>
    <row r="72" spans="1:7">
      <c r="A72" s="17"/>
      <c r="B72" s="29"/>
      <c r="C72" s="29"/>
      <c r="D72" s="30"/>
      <c r="E72" s="31"/>
    </row>
    <row r="73" spans="1:7">
      <c r="A73" s="17"/>
      <c r="B73" s="29"/>
      <c r="C73" s="29"/>
      <c r="D73" s="30"/>
      <c r="E73" s="31"/>
    </row>
    <row r="74" spans="1:7" s="37" customFormat="1" ht="21.1">
      <c r="A74" s="38" t="s">
        <v>10</v>
      </c>
      <c r="B74" s="24"/>
      <c r="C74" s="24"/>
      <c r="D74" s="39"/>
      <c r="E74" s="40"/>
      <c r="G74" s="41"/>
    </row>
    <row r="75" spans="1:7" s="37" customFormat="1" ht="21.1">
      <c r="A75" s="38"/>
      <c r="B75" s="24"/>
      <c r="C75" s="24"/>
      <c r="D75" s="39"/>
      <c r="E75" s="40"/>
      <c r="G75" s="41"/>
    </row>
    <row r="76" spans="1:7" s="37" customFormat="1" ht="21.1">
      <c r="A76" s="38" t="s">
        <v>226</v>
      </c>
      <c r="B76" s="24"/>
      <c r="C76" s="24"/>
      <c r="D76" s="39"/>
      <c r="E76" s="40"/>
      <c r="G76" s="41"/>
    </row>
    <row r="77" spans="1:7" s="37" customFormat="1" ht="21.1">
      <c r="A77" s="42"/>
      <c r="B77" s="24"/>
      <c r="C77" s="24"/>
      <c r="D77" s="39"/>
      <c r="E77" s="40"/>
      <c r="G77" s="41"/>
    </row>
    <row r="78" spans="1:7" s="37" customFormat="1" ht="21.1">
      <c r="A78" s="38" t="s">
        <v>26</v>
      </c>
      <c r="B78" s="24"/>
      <c r="C78" s="24"/>
      <c r="D78" s="39"/>
      <c r="E78" s="40"/>
      <c r="G78" s="41"/>
    </row>
    <row r="79" spans="1:7" s="37" customFormat="1" ht="21.1">
      <c r="A79" s="38"/>
      <c r="B79" s="24"/>
      <c r="C79" s="24"/>
      <c r="D79" s="39"/>
      <c r="E79" s="40"/>
      <c r="G79" s="41"/>
    </row>
    <row r="80" spans="1:7" s="37" customFormat="1" ht="21.1">
      <c r="A80" s="38"/>
      <c r="B80" s="24"/>
      <c r="C80" s="24"/>
      <c r="D80" s="39"/>
      <c r="E80" s="40"/>
      <c r="G80" s="41"/>
    </row>
    <row r="81" spans="1:7" s="37" customFormat="1" ht="21.1">
      <c r="A81" s="38"/>
      <c r="B81" s="24"/>
      <c r="C81" s="24"/>
      <c r="D81" s="39"/>
      <c r="E81" s="40"/>
      <c r="G81" s="41"/>
    </row>
    <row r="82" spans="1:7" ht="21.1">
      <c r="A82" s="17"/>
      <c r="B82" s="29"/>
      <c r="C82" s="143" t="s">
        <v>227</v>
      </c>
      <c r="D82" s="30"/>
      <c r="E82" s="31"/>
      <c r="G82" s="32"/>
    </row>
    <row r="83" spans="1:7" ht="21.1">
      <c r="A83" s="17"/>
      <c r="B83" s="29"/>
      <c r="C83" s="143" t="s">
        <v>228</v>
      </c>
      <c r="D83" s="30"/>
      <c r="E83" s="31"/>
      <c r="G83" s="32"/>
    </row>
    <row r="84" spans="1:7">
      <c r="A84" s="17"/>
      <c r="B84" s="29"/>
      <c r="C84" s="29"/>
      <c r="D84" s="30"/>
      <c r="E84" s="31"/>
      <c r="G84" s="32"/>
    </row>
    <row r="85" spans="1:7" ht="21.1">
      <c r="A85" s="25"/>
      <c r="B85" s="37"/>
      <c r="C85" s="36"/>
    </row>
    <row r="86" spans="1:7" ht="21.1">
      <c r="A86" s="25"/>
      <c r="B86" s="37"/>
      <c r="C86" s="36"/>
    </row>
    <row r="87" spans="1:7" ht="21.1">
      <c r="A87" s="25"/>
      <c r="B87" s="37"/>
      <c r="C87" s="36"/>
    </row>
    <row r="88" spans="1:7" ht="21.1">
      <c r="A88" s="25"/>
      <c r="B88" s="36"/>
      <c r="C88" s="37"/>
    </row>
    <row r="89" spans="1:7" ht="21.1">
      <c r="A89" s="25"/>
      <c r="B89" s="37"/>
      <c r="C89" s="37"/>
      <c r="E89" s="35"/>
    </row>
    <row r="90" spans="1:7" ht="21.1">
      <c r="A90" s="17"/>
      <c r="B90" s="36"/>
      <c r="C90" s="37"/>
      <c r="E90" s="35"/>
    </row>
    <row r="91" spans="1:7" ht="21.1">
      <c r="A91" s="17"/>
      <c r="B91" s="36"/>
      <c r="C91" s="37"/>
      <c r="E91" s="35"/>
    </row>
    <row r="102" spans="1:5">
      <c r="A102" s="25"/>
      <c r="D102" s="25"/>
      <c r="E102" s="25"/>
    </row>
    <row r="103" spans="1:5">
      <c r="A103" s="25"/>
      <c r="D103" s="25"/>
      <c r="E103" s="25"/>
    </row>
    <row r="104" spans="1:5">
      <c r="A104" s="25"/>
      <c r="D104" s="25"/>
      <c r="E104" s="25"/>
    </row>
    <row r="105" spans="1:5">
      <c r="A105" s="25"/>
      <c r="D105" s="25"/>
      <c r="E105" s="25"/>
    </row>
    <row r="106" spans="1:5">
      <c r="A106" s="25"/>
      <c r="D106" s="25"/>
      <c r="E106" s="25"/>
    </row>
    <row r="107" spans="1:5">
      <c r="A107" s="25"/>
      <c r="D107" s="25"/>
      <c r="E107" s="25"/>
    </row>
  </sheetData>
  <mergeCells count="18">
    <mergeCell ref="A1:E1"/>
    <mergeCell ref="A2:E2"/>
    <mergeCell ref="A4:A5"/>
    <mergeCell ref="B4:B5"/>
    <mergeCell ref="C4:C5"/>
    <mergeCell ref="D4:E5"/>
    <mergeCell ref="A67:A68"/>
    <mergeCell ref="B67:B68"/>
    <mergeCell ref="C67:C68"/>
    <mergeCell ref="D67:E68"/>
    <mergeCell ref="A33:A34"/>
    <mergeCell ref="B33:B34"/>
    <mergeCell ref="C33:C34"/>
    <mergeCell ref="D33:E34"/>
    <mergeCell ref="A52:A53"/>
    <mergeCell ref="B52:B53"/>
    <mergeCell ref="C52:C53"/>
    <mergeCell ref="D52:E53"/>
  </mergeCells>
  <pageMargins left="0.35433070866141736" right="0.23622047244094491" top="0.65" bottom="0.49" header="0.53" footer="0.4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2CC4-70B9-479B-B33B-560AF48FB714}">
  <dimension ref="A1:I57"/>
  <sheetViews>
    <sheetView zoomScale="130" zoomScaleNormal="130" workbookViewId="0">
      <selection activeCell="A2" sqref="A2:G2"/>
    </sheetView>
  </sheetViews>
  <sheetFormatPr defaultRowHeight="19.05"/>
  <cols>
    <col min="1" max="1" width="6.25" style="8" customWidth="1"/>
    <col min="2" max="2" width="46.25" style="8" customWidth="1"/>
    <col min="3" max="3" width="6.375" style="8" customWidth="1"/>
    <col min="4" max="4" width="7.25" style="8" customWidth="1"/>
    <col min="5" max="5" width="13.125" style="8" customWidth="1"/>
    <col min="6" max="6" width="13.25" style="8" customWidth="1"/>
    <col min="7" max="7" width="16.125" style="64" bestFit="1" customWidth="1"/>
    <col min="8" max="8" width="24.25" style="8" customWidth="1"/>
    <col min="9" max="9" width="23.25" style="66" customWidth="1"/>
    <col min="10" max="16384" width="9" style="8"/>
  </cols>
  <sheetData>
    <row r="1" spans="1:9">
      <c r="A1" s="141" t="s">
        <v>182</v>
      </c>
      <c r="B1" s="141"/>
      <c r="C1" s="141"/>
      <c r="D1" s="141"/>
      <c r="E1" s="141"/>
      <c r="F1" s="141"/>
      <c r="G1" s="141"/>
      <c r="H1" s="65"/>
    </row>
    <row r="2" spans="1:9">
      <c r="A2" s="142" t="s">
        <v>206</v>
      </c>
      <c r="B2" s="142"/>
      <c r="C2" s="142"/>
      <c r="D2" s="142"/>
      <c r="E2" s="142"/>
      <c r="F2" s="142"/>
      <c r="G2" s="142"/>
      <c r="H2" s="65"/>
    </row>
    <row r="3" spans="1:9" s="69" customFormat="1" ht="26.15" customHeight="1">
      <c r="A3" s="122" t="s">
        <v>0</v>
      </c>
      <c r="B3" s="122" t="s">
        <v>1</v>
      </c>
      <c r="C3" s="124" t="s">
        <v>7</v>
      </c>
      <c r="D3" s="125"/>
      <c r="E3" s="128" t="s">
        <v>2</v>
      </c>
      <c r="F3" s="130" t="s">
        <v>3</v>
      </c>
      <c r="G3" s="132" t="s">
        <v>123</v>
      </c>
      <c r="H3" s="67"/>
      <c r="I3" s="68"/>
    </row>
    <row r="4" spans="1:9" s="69" customFormat="1" ht="40.75" customHeight="1">
      <c r="A4" s="123"/>
      <c r="B4" s="123"/>
      <c r="C4" s="126"/>
      <c r="D4" s="127"/>
      <c r="E4" s="129"/>
      <c r="F4" s="131"/>
      <c r="G4" s="133"/>
      <c r="H4" s="67"/>
      <c r="I4" s="68"/>
    </row>
    <row r="5" spans="1:9">
      <c r="A5" s="13">
        <v>1</v>
      </c>
      <c r="B5" s="11" t="s">
        <v>31</v>
      </c>
      <c r="C5" s="46">
        <v>400</v>
      </c>
      <c r="D5" s="47" t="s">
        <v>32</v>
      </c>
      <c r="E5" s="54">
        <v>1</v>
      </c>
      <c r="F5" s="54">
        <f>SUM(C5*E5)</f>
        <v>400</v>
      </c>
      <c r="G5" s="56" t="s">
        <v>124</v>
      </c>
      <c r="H5" s="60"/>
    </row>
    <row r="6" spans="1:9">
      <c r="A6" s="13">
        <v>2</v>
      </c>
      <c r="B6" s="9" t="s">
        <v>191</v>
      </c>
      <c r="C6" s="46">
        <v>4</v>
      </c>
      <c r="D6" s="47" t="s">
        <v>14</v>
      </c>
      <c r="E6" s="70">
        <v>1590</v>
      </c>
      <c r="F6" s="54">
        <f t="shared" ref="F6:F53" si="0">SUM(C6*E6)</f>
        <v>6360</v>
      </c>
      <c r="G6" s="56" t="s">
        <v>124</v>
      </c>
      <c r="H6" s="60"/>
    </row>
    <row r="7" spans="1:9">
      <c r="A7" s="13">
        <v>3</v>
      </c>
      <c r="B7" s="9" t="s">
        <v>192</v>
      </c>
      <c r="C7" s="46">
        <v>2</v>
      </c>
      <c r="D7" s="47" t="s">
        <v>14</v>
      </c>
      <c r="E7" s="54">
        <v>690</v>
      </c>
      <c r="F7" s="54">
        <f t="shared" si="0"/>
        <v>1380</v>
      </c>
      <c r="G7" s="56" t="s">
        <v>124</v>
      </c>
      <c r="H7" s="60"/>
    </row>
    <row r="8" spans="1:9" ht="21.25" customHeight="1">
      <c r="A8" s="13">
        <v>4</v>
      </c>
      <c r="B8" s="9" t="s">
        <v>193</v>
      </c>
      <c r="C8" s="46">
        <v>8</v>
      </c>
      <c r="D8" s="47" t="s">
        <v>14</v>
      </c>
      <c r="E8" s="54">
        <v>390</v>
      </c>
      <c r="F8" s="54">
        <f t="shared" si="0"/>
        <v>3120</v>
      </c>
      <c r="G8" s="56" t="s">
        <v>129</v>
      </c>
      <c r="H8" s="60"/>
    </row>
    <row r="9" spans="1:9">
      <c r="A9" s="13">
        <v>5</v>
      </c>
      <c r="B9" s="9" t="s">
        <v>35</v>
      </c>
      <c r="C9" s="46">
        <v>3</v>
      </c>
      <c r="D9" s="47" t="s">
        <v>13</v>
      </c>
      <c r="E9" s="70">
        <v>490</v>
      </c>
      <c r="F9" s="54">
        <f t="shared" si="0"/>
        <v>1470</v>
      </c>
      <c r="G9" s="56" t="s">
        <v>124</v>
      </c>
      <c r="H9" s="60"/>
    </row>
    <row r="10" spans="1:9">
      <c r="A10" s="13">
        <v>6</v>
      </c>
      <c r="B10" s="9" t="s">
        <v>36</v>
      </c>
      <c r="C10" s="46">
        <v>6</v>
      </c>
      <c r="D10" s="47" t="s">
        <v>14</v>
      </c>
      <c r="E10" s="54">
        <v>290</v>
      </c>
      <c r="F10" s="54">
        <f t="shared" si="0"/>
        <v>1740</v>
      </c>
      <c r="G10" s="56" t="s">
        <v>126</v>
      </c>
      <c r="H10" s="60"/>
    </row>
    <row r="11" spans="1:9">
      <c r="A11" s="13">
        <v>7</v>
      </c>
      <c r="B11" s="9" t="s">
        <v>37</v>
      </c>
      <c r="C11" s="46">
        <v>5</v>
      </c>
      <c r="D11" s="47" t="s">
        <v>14</v>
      </c>
      <c r="E11" s="54">
        <v>350</v>
      </c>
      <c r="F11" s="54">
        <f t="shared" si="0"/>
        <v>1750</v>
      </c>
      <c r="G11" s="56" t="s">
        <v>124</v>
      </c>
      <c r="H11" s="60"/>
    </row>
    <row r="12" spans="1:9">
      <c r="A12" s="13">
        <v>8</v>
      </c>
      <c r="B12" s="9" t="s">
        <v>38</v>
      </c>
      <c r="C12" s="46">
        <v>4</v>
      </c>
      <c r="D12" s="47" t="s">
        <v>13</v>
      </c>
      <c r="E12" s="70">
        <v>990</v>
      </c>
      <c r="F12" s="54">
        <f t="shared" si="0"/>
        <v>3960</v>
      </c>
      <c r="G12" s="56" t="s">
        <v>125</v>
      </c>
      <c r="H12" s="60"/>
    </row>
    <row r="13" spans="1:9" ht="38.049999999999997">
      <c r="A13" s="13">
        <v>9</v>
      </c>
      <c r="B13" s="11" t="s">
        <v>185</v>
      </c>
      <c r="C13" s="50">
        <v>2</v>
      </c>
      <c r="D13" s="51" t="s">
        <v>14</v>
      </c>
      <c r="E13" s="54">
        <v>1890</v>
      </c>
      <c r="F13" s="54">
        <f t="shared" si="0"/>
        <v>3780</v>
      </c>
      <c r="G13" s="56" t="s">
        <v>124</v>
      </c>
      <c r="H13" s="60"/>
    </row>
    <row r="14" spans="1:9">
      <c r="A14" s="13">
        <v>10</v>
      </c>
      <c r="B14" s="11" t="s">
        <v>39</v>
      </c>
      <c r="C14" s="50">
        <v>1</v>
      </c>
      <c r="D14" s="51" t="s">
        <v>14</v>
      </c>
      <c r="E14" s="54">
        <v>3990</v>
      </c>
      <c r="F14" s="54">
        <f t="shared" si="0"/>
        <v>3990</v>
      </c>
      <c r="G14" s="56" t="s">
        <v>124</v>
      </c>
      <c r="H14" s="60"/>
    </row>
    <row r="15" spans="1:9">
      <c r="A15" s="13">
        <v>11</v>
      </c>
      <c r="B15" s="11" t="s">
        <v>134</v>
      </c>
      <c r="C15" s="50">
        <v>20</v>
      </c>
      <c r="D15" s="51" t="s">
        <v>16</v>
      </c>
      <c r="E15" s="54">
        <v>90</v>
      </c>
      <c r="F15" s="54">
        <f t="shared" si="0"/>
        <v>1800</v>
      </c>
      <c r="G15" s="56" t="s">
        <v>124</v>
      </c>
      <c r="H15" s="60"/>
    </row>
    <row r="16" spans="1:9">
      <c r="A16" s="13">
        <v>12</v>
      </c>
      <c r="B16" s="11" t="s">
        <v>40</v>
      </c>
      <c r="C16" s="50">
        <v>5</v>
      </c>
      <c r="D16" s="51" t="s">
        <v>5</v>
      </c>
      <c r="E16" s="70">
        <v>120</v>
      </c>
      <c r="F16" s="54">
        <f t="shared" si="0"/>
        <v>600</v>
      </c>
      <c r="G16" s="56" t="s">
        <v>124</v>
      </c>
      <c r="H16" s="60"/>
    </row>
    <row r="17" spans="1:9" ht="38.049999999999997">
      <c r="A17" s="13">
        <v>13</v>
      </c>
      <c r="B17" s="11" t="s">
        <v>130</v>
      </c>
      <c r="C17" s="50">
        <v>5</v>
      </c>
      <c r="D17" s="51" t="s">
        <v>12</v>
      </c>
      <c r="E17" s="54">
        <v>1290</v>
      </c>
      <c r="F17" s="54">
        <f t="shared" si="0"/>
        <v>6450</v>
      </c>
      <c r="G17" s="56" t="s">
        <v>138</v>
      </c>
      <c r="H17" s="76" t="s">
        <v>41</v>
      </c>
    </row>
    <row r="18" spans="1:9">
      <c r="A18" s="13">
        <v>14</v>
      </c>
      <c r="B18" s="11" t="s">
        <v>42</v>
      </c>
      <c r="C18" s="50">
        <v>4</v>
      </c>
      <c r="D18" s="51" t="s">
        <v>14</v>
      </c>
      <c r="E18" s="54">
        <v>890</v>
      </c>
      <c r="F18" s="54">
        <f t="shared" si="0"/>
        <v>3560</v>
      </c>
      <c r="G18" s="56" t="s">
        <v>124</v>
      </c>
      <c r="H18" s="60"/>
    </row>
    <row r="19" spans="1:9">
      <c r="A19" s="13">
        <v>15</v>
      </c>
      <c r="B19" s="11" t="s">
        <v>43</v>
      </c>
      <c r="C19" s="50">
        <v>4</v>
      </c>
      <c r="D19" s="51" t="s">
        <v>14</v>
      </c>
      <c r="E19" s="54">
        <v>1290</v>
      </c>
      <c r="F19" s="54">
        <f t="shared" si="0"/>
        <v>5160</v>
      </c>
      <c r="G19" s="56" t="s">
        <v>124</v>
      </c>
      <c r="H19" s="60"/>
    </row>
    <row r="20" spans="1:9">
      <c r="A20" s="13">
        <v>16</v>
      </c>
      <c r="B20" s="11" t="s">
        <v>44</v>
      </c>
      <c r="C20" s="50">
        <v>2</v>
      </c>
      <c r="D20" s="51" t="s">
        <v>5</v>
      </c>
      <c r="E20" s="54">
        <v>990</v>
      </c>
      <c r="F20" s="54">
        <f t="shared" si="0"/>
        <v>1980</v>
      </c>
      <c r="G20" s="56" t="s">
        <v>124</v>
      </c>
      <c r="H20" s="60"/>
    </row>
    <row r="21" spans="1:9">
      <c r="A21" s="13">
        <v>17</v>
      </c>
      <c r="B21" s="11" t="s">
        <v>45</v>
      </c>
      <c r="C21" s="50">
        <v>3</v>
      </c>
      <c r="D21" s="51" t="s">
        <v>5</v>
      </c>
      <c r="E21" s="54">
        <v>150</v>
      </c>
      <c r="F21" s="54">
        <f t="shared" si="0"/>
        <v>450</v>
      </c>
      <c r="G21" s="56" t="s">
        <v>124</v>
      </c>
      <c r="H21" s="60"/>
    </row>
    <row r="22" spans="1:9">
      <c r="A22" s="13">
        <v>18</v>
      </c>
      <c r="B22" s="11" t="s">
        <v>46</v>
      </c>
      <c r="C22" s="46">
        <v>1</v>
      </c>
      <c r="D22" s="47" t="s">
        <v>14</v>
      </c>
      <c r="E22" s="54">
        <v>1990</v>
      </c>
      <c r="F22" s="54">
        <f t="shared" si="0"/>
        <v>1990</v>
      </c>
      <c r="G22" s="56" t="s">
        <v>124</v>
      </c>
      <c r="H22" s="76" t="s">
        <v>41</v>
      </c>
    </row>
    <row r="23" spans="1:9" ht="38.049999999999997">
      <c r="A23" s="13">
        <v>19</v>
      </c>
      <c r="B23" s="11" t="s">
        <v>131</v>
      </c>
      <c r="C23" s="50">
        <v>7</v>
      </c>
      <c r="D23" s="51" t="s">
        <v>14</v>
      </c>
      <c r="E23" s="54">
        <v>6190</v>
      </c>
      <c r="F23" s="54">
        <f t="shared" si="0"/>
        <v>43330</v>
      </c>
      <c r="G23" s="56" t="s">
        <v>145</v>
      </c>
      <c r="H23" s="76" t="s">
        <v>41</v>
      </c>
      <c r="I23" s="66" t="s">
        <v>144</v>
      </c>
    </row>
    <row r="24" spans="1:9" ht="38.049999999999997">
      <c r="A24" s="13">
        <v>20</v>
      </c>
      <c r="B24" s="11" t="s">
        <v>47</v>
      </c>
      <c r="C24" s="50">
        <v>2</v>
      </c>
      <c r="D24" s="51" t="s">
        <v>14</v>
      </c>
      <c r="E24" s="54">
        <v>3990</v>
      </c>
      <c r="F24" s="54">
        <f t="shared" si="0"/>
        <v>7980</v>
      </c>
      <c r="G24" s="56" t="s">
        <v>124</v>
      </c>
      <c r="H24" s="76" t="s">
        <v>41</v>
      </c>
    </row>
    <row r="25" spans="1:9">
      <c r="A25" s="13">
        <v>21</v>
      </c>
      <c r="B25" s="11" t="s">
        <v>48</v>
      </c>
      <c r="C25" s="50">
        <v>4</v>
      </c>
      <c r="D25" s="51" t="s">
        <v>14</v>
      </c>
      <c r="E25" s="54">
        <v>250</v>
      </c>
      <c r="F25" s="54">
        <f t="shared" si="0"/>
        <v>1000</v>
      </c>
      <c r="G25" s="56" t="s">
        <v>124</v>
      </c>
      <c r="H25" s="76" t="s">
        <v>41</v>
      </c>
    </row>
    <row r="26" spans="1:9" ht="38.049999999999997">
      <c r="A26" s="13">
        <v>22</v>
      </c>
      <c r="B26" s="11" t="s">
        <v>146</v>
      </c>
      <c r="C26" s="50">
        <v>10</v>
      </c>
      <c r="D26" s="51" t="s">
        <v>15</v>
      </c>
      <c r="E26" s="54">
        <v>190</v>
      </c>
      <c r="F26" s="54">
        <f t="shared" si="0"/>
        <v>1900</v>
      </c>
      <c r="G26" s="56" t="s">
        <v>124</v>
      </c>
      <c r="H26" s="76" t="s">
        <v>41</v>
      </c>
    </row>
    <row r="27" spans="1:9" ht="38.049999999999997">
      <c r="A27" s="13">
        <v>23</v>
      </c>
      <c r="B27" s="11" t="s">
        <v>147</v>
      </c>
      <c r="C27" s="50">
        <v>5</v>
      </c>
      <c r="D27" s="51" t="s">
        <v>51</v>
      </c>
      <c r="E27" s="54">
        <v>120</v>
      </c>
      <c r="F27" s="54">
        <f t="shared" si="0"/>
        <v>600</v>
      </c>
      <c r="G27" s="56" t="s">
        <v>124</v>
      </c>
      <c r="H27" s="76" t="s">
        <v>41</v>
      </c>
    </row>
    <row r="28" spans="1:9">
      <c r="A28" s="13">
        <v>24</v>
      </c>
      <c r="B28" s="11" t="s">
        <v>52</v>
      </c>
      <c r="C28" s="50">
        <v>10</v>
      </c>
      <c r="D28" s="51" t="s">
        <v>11</v>
      </c>
      <c r="E28" s="54">
        <v>190</v>
      </c>
      <c r="F28" s="54">
        <f t="shared" si="0"/>
        <v>1900</v>
      </c>
      <c r="G28" s="56" t="s">
        <v>124</v>
      </c>
      <c r="H28" s="76" t="s">
        <v>41</v>
      </c>
    </row>
    <row r="29" spans="1:9">
      <c r="A29" s="13">
        <v>25</v>
      </c>
      <c r="B29" s="11" t="s">
        <v>53</v>
      </c>
      <c r="C29" s="50">
        <v>4</v>
      </c>
      <c r="D29" s="51" t="s">
        <v>54</v>
      </c>
      <c r="E29" s="54">
        <v>450</v>
      </c>
      <c r="F29" s="54">
        <f t="shared" si="0"/>
        <v>1800</v>
      </c>
      <c r="G29" s="56" t="s">
        <v>124</v>
      </c>
      <c r="H29" s="76" t="s">
        <v>41</v>
      </c>
    </row>
    <row r="30" spans="1:9" ht="38.049999999999997">
      <c r="A30" s="13">
        <v>26</v>
      </c>
      <c r="B30" s="11" t="s">
        <v>55</v>
      </c>
      <c r="C30" s="50">
        <v>2</v>
      </c>
      <c r="D30" s="51" t="s">
        <v>5</v>
      </c>
      <c r="E30" s="54">
        <v>990</v>
      </c>
      <c r="F30" s="54">
        <f t="shared" si="0"/>
        <v>1980</v>
      </c>
      <c r="G30" s="56" t="s">
        <v>124</v>
      </c>
      <c r="H30" s="76" t="s">
        <v>41</v>
      </c>
    </row>
    <row r="31" spans="1:9" ht="57.1">
      <c r="A31" s="13">
        <v>27</v>
      </c>
      <c r="B31" s="11" t="s">
        <v>135</v>
      </c>
      <c r="C31" s="50">
        <v>2</v>
      </c>
      <c r="D31" s="51" t="s">
        <v>5</v>
      </c>
      <c r="E31" s="54">
        <v>690</v>
      </c>
      <c r="F31" s="54">
        <f t="shared" si="0"/>
        <v>1380</v>
      </c>
      <c r="G31" s="56" t="s">
        <v>124</v>
      </c>
      <c r="H31" s="76" t="s">
        <v>41</v>
      </c>
    </row>
    <row r="32" spans="1:9" ht="57.1">
      <c r="A32" s="13">
        <v>28</v>
      </c>
      <c r="B32" s="11" t="s">
        <v>56</v>
      </c>
      <c r="C32" s="50">
        <v>4</v>
      </c>
      <c r="D32" s="51" t="s">
        <v>5</v>
      </c>
      <c r="E32" s="54">
        <v>3500</v>
      </c>
      <c r="F32" s="54">
        <f t="shared" si="0"/>
        <v>14000</v>
      </c>
      <c r="G32" s="56" t="s">
        <v>124</v>
      </c>
      <c r="H32" s="76" t="s">
        <v>41</v>
      </c>
    </row>
    <row r="33" spans="1:9" ht="38.049999999999997">
      <c r="A33" s="13">
        <v>29</v>
      </c>
      <c r="B33" s="11" t="s">
        <v>57</v>
      </c>
      <c r="C33" s="50">
        <v>4</v>
      </c>
      <c r="D33" s="51" t="s">
        <v>14</v>
      </c>
      <c r="E33" s="54">
        <v>490</v>
      </c>
      <c r="F33" s="54">
        <f t="shared" si="0"/>
        <v>1960</v>
      </c>
      <c r="G33" s="56" t="s">
        <v>124</v>
      </c>
      <c r="H33" s="76" t="s">
        <v>41</v>
      </c>
    </row>
    <row r="34" spans="1:9">
      <c r="A34" s="13">
        <v>30</v>
      </c>
      <c r="B34" s="11" t="s">
        <v>58</v>
      </c>
      <c r="C34" s="50">
        <v>20</v>
      </c>
      <c r="D34" s="51" t="s">
        <v>14</v>
      </c>
      <c r="E34" s="54">
        <v>25</v>
      </c>
      <c r="F34" s="54">
        <f t="shared" si="0"/>
        <v>500</v>
      </c>
      <c r="G34" s="56" t="s">
        <v>124</v>
      </c>
      <c r="H34" s="76" t="s">
        <v>41</v>
      </c>
    </row>
    <row r="35" spans="1:9" ht="38.049999999999997">
      <c r="A35" s="13">
        <v>31</v>
      </c>
      <c r="B35" s="11" t="s">
        <v>59</v>
      </c>
      <c r="C35" s="50">
        <v>20</v>
      </c>
      <c r="D35" s="51" t="s">
        <v>14</v>
      </c>
      <c r="E35" s="54">
        <v>90</v>
      </c>
      <c r="F35" s="54">
        <f t="shared" si="0"/>
        <v>1800</v>
      </c>
      <c r="G35" s="56" t="s">
        <v>124</v>
      </c>
      <c r="H35" s="76" t="s">
        <v>41</v>
      </c>
    </row>
    <row r="36" spans="1:9" ht="57.1">
      <c r="A36" s="13">
        <v>32</v>
      </c>
      <c r="B36" s="11" t="s">
        <v>60</v>
      </c>
      <c r="C36" s="50">
        <v>20</v>
      </c>
      <c r="D36" s="51" t="s">
        <v>14</v>
      </c>
      <c r="E36" s="54">
        <v>150</v>
      </c>
      <c r="F36" s="54">
        <f t="shared" si="0"/>
        <v>3000</v>
      </c>
      <c r="G36" s="56" t="s">
        <v>124</v>
      </c>
      <c r="H36" s="76" t="s">
        <v>41</v>
      </c>
    </row>
    <row r="37" spans="1:9" ht="38.049999999999997">
      <c r="A37" s="13">
        <v>33</v>
      </c>
      <c r="B37" s="11" t="s">
        <v>183</v>
      </c>
      <c r="C37" s="50">
        <v>1</v>
      </c>
      <c r="D37" s="51" t="s">
        <v>61</v>
      </c>
      <c r="E37" s="54">
        <v>1290</v>
      </c>
      <c r="F37" s="54">
        <f t="shared" si="0"/>
        <v>1290</v>
      </c>
      <c r="G37" s="56" t="s">
        <v>124</v>
      </c>
      <c r="H37" s="60"/>
    </row>
    <row r="38" spans="1:9" ht="57.1">
      <c r="A38" s="13">
        <v>34</v>
      </c>
      <c r="B38" s="11" t="s">
        <v>62</v>
      </c>
      <c r="C38" s="50">
        <v>1</v>
      </c>
      <c r="D38" s="51" t="s">
        <v>14</v>
      </c>
      <c r="E38" s="54">
        <v>1290</v>
      </c>
      <c r="F38" s="54">
        <f t="shared" si="0"/>
        <v>1290</v>
      </c>
      <c r="G38" s="56" t="s">
        <v>124</v>
      </c>
      <c r="H38" s="76" t="s">
        <v>41</v>
      </c>
    </row>
    <row r="39" spans="1:9" ht="57.1">
      <c r="A39" s="13">
        <v>35</v>
      </c>
      <c r="B39" s="11" t="s">
        <v>63</v>
      </c>
      <c r="C39" s="50">
        <v>4</v>
      </c>
      <c r="D39" s="51" t="s">
        <v>14</v>
      </c>
      <c r="E39" s="54">
        <v>990</v>
      </c>
      <c r="F39" s="54">
        <f t="shared" si="0"/>
        <v>3960</v>
      </c>
      <c r="G39" s="56" t="s">
        <v>124</v>
      </c>
      <c r="H39" s="76" t="s">
        <v>41</v>
      </c>
    </row>
    <row r="40" spans="1:9">
      <c r="A40" s="13">
        <v>36</v>
      </c>
      <c r="B40" s="11" t="s">
        <v>64</v>
      </c>
      <c r="C40" s="50">
        <v>3</v>
      </c>
      <c r="D40" s="51" t="s">
        <v>12</v>
      </c>
      <c r="E40" s="54">
        <v>1290</v>
      </c>
      <c r="F40" s="54">
        <f t="shared" si="0"/>
        <v>3870</v>
      </c>
      <c r="G40" s="59" t="s">
        <v>65</v>
      </c>
      <c r="H40" s="60"/>
    </row>
    <row r="41" spans="1:9">
      <c r="A41" s="13">
        <v>37</v>
      </c>
      <c r="B41" s="11" t="s">
        <v>136</v>
      </c>
      <c r="C41" s="50">
        <v>4</v>
      </c>
      <c r="D41" s="51" t="s">
        <v>14</v>
      </c>
      <c r="E41" s="54">
        <v>690</v>
      </c>
      <c r="F41" s="54">
        <f t="shared" si="0"/>
        <v>2760</v>
      </c>
      <c r="G41" s="59" t="s">
        <v>65</v>
      </c>
      <c r="H41" s="60"/>
    </row>
    <row r="42" spans="1:9">
      <c r="A42" s="13">
        <v>38</v>
      </c>
      <c r="B42" s="11" t="s">
        <v>137</v>
      </c>
      <c r="C42" s="50">
        <v>7</v>
      </c>
      <c r="D42" s="51" t="s">
        <v>14</v>
      </c>
      <c r="E42" s="54">
        <v>890</v>
      </c>
      <c r="F42" s="54">
        <f t="shared" si="0"/>
        <v>6230</v>
      </c>
      <c r="G42" s="59" t="s">
        <v>66</v>
      </c>
      <c r="H42" s="60"/>
    </row>
    <row r="43" spans="1:9">
      <c r="A43" s="13">
        <v>39</v>
      </c>
      <c r="B43" s="11" t="s">
        <v>67</v>
      </c>
      <c r="C43" s="50">
        <v>2</v>
      </c>
      <c r="D43" s="51" t="s">
        <v>14</v>
      </c>
      <c r="E43" s="54">
        <v>350</v>
      </c>
      <c r="F43" s="54">
        <f t="shared" si="0"/>
        <v>700</v>
      </c>
      <c r="G43" s="59" t="s">
        <v>66</v>
      </c>
      <c r="H43" s="60"/>
    </row>
    <row r="44" spans="1:9" s="27" customFormat="1" ht="38.049999999999997">
      <c r="A44" s="13">
        <v>40</v>
      </c>
      <c r="B44" s="23" t="s">
        <v>139</v>
      </c>
      <c r="C44" s="71">
        <v>1</v>
      </c>
      <c r="D44" s="72" t="s">
        <v>12</v>
      </c>
      <c r="E44" s="73">
        <v>1290</v>
      </c>
      <c r="F44" s="73">
        <f t="shared" si="0"/>
        <v>1290</v>
      </c>
      <c r="G44" s="63" t="s">
        <v>132</v>
      </c>
      <c r="I44" s="74" t="s">
        <v>127</v>
      </c>
    </row>
    <row r="45" spans="1:9" ht="38.049999999999997">
      <c r="A45" s="13">
        <v>41</v>
      </c>
      <c r="B45" s="11" t="s">
        <v>181</v>
      </c>
      <c r="C45" s="50">
        <v>1</v>
      </c>
      <c r="D45" s="51" t="s">
        <v>13</v>
      </c>
      <c r="E45" s="54">
        <v>2990</v>
      </c>
      <c r="F45" s="54">
        <f t="shared" si="0"/>
        <v>2990</v>
      </c>
      <c r="G45" s="62" t="s">
        <v>132</v>
      </c>
      <c r="I45" s="74" t="s">
        <v>127</v>
      </c>
    </row>
    <row r="46" spans="1:9">
      <c r="A46" s="13">
        <v>42</v>
      </c>
      <c r="B46" s="11" t="s">
        <v>178</v>
      </c>
      <c r="C46" s="50">
        <v>1</v>
      </c>
      <c r="D46" s="51" t="s">
        <v>13</v>
      </c>
      <c r="E46" s="54">
        <v>2500</v>
      </c>
      <c r="F46" s="54">
        <f t="shared" si="0"/>
        <v>2500</v>
      </c>
      <c r="G46" s="62" t="s">
        <v>66</v>
      </c>
      <c r="I46" s="74"/>
    </row>
    <row r="47" spans="1:9">
      <c r="A47" s="13">
        <v>43</v>
      </c>
      <c r="B47" s="11" t="s">
        <v>179</v>
      </c>
      <c r="C47" s="50">
        <v>3</v>
      </c>
      <c r="D47" s="51" t="s">
        <v>14</v>
      </c>
      <c r="E47" s="54">
        <v>1290</v>
      </c>
      <c r="F47" s="54">
        <f t="shared" si="0"/>
        <v>3870</v>
      </c>
      <c r="G47" s="62" t="s">
        <v>140</v>
      </c>
      <c r="I47" s="74"/>
    </row>
    <row r="48" spans="1:9">
      <c r="A48" s="13">
        <v>44</v>
      </c>
      <c r="B48" s="11" t="s">
        <v>141</v>
      </c>
      <c r="C48" s="50">
        <v>200</v>
      </c>
      <c r="D48" s="51" t="s">
        <v>17</v>
      </c>
      <c r="E48" s="54">
        <v>65</v>
      </c>
      <c r="F48" s="54">
        <f t="shared" si="0"/>
        <v>13000</v>
      </c>
      <c r="G48" s="77" t="s">
        <v>65</v>
      </c>
      <c r="I48" s="74" t="s">
        <v>143</v>
      </c>
    </row>
    <row r="49" spans="1:8">
      <c r="A49" s="13">
        <v>45</v>
      </c>
      <c r="B49" s="11" t="s">
        <v>142</v>
      </c>
      <c r="C49" s="50">
        <v>30</v>
      </c>
      <c r="D49" s="51" t="s">
        <v>17</v>
      </c>
      <c r="E49" s="54">
        <v>65</v>
      </c>
      <c r="F49" s="54">
        <f t="shared" si="0"/>
        <v>1950</v>
      </c>
      <c r="G49" s="77" t="s">
        <v>65</v>
      </c>
      <c r="H49" s="55"/>
    </row>
    <row r="50" spans="1:8">
      <c r="A50" s="13">
        <v>46</v>
      </c>
      <c r="B50" s="11" t="s">
        <v>207</v>
      </c>
      <c r="C50" s="50">
        <v>4</v>
      </c>
      <c r="D50" s="51" t="s">
        <v>211</v>
      </c>
      <c r="E50" s="54">
        <v>3990</v>
      </c>
      <c r="F50" s="54">
        <f t="shared" si="0"/>
        <v>15960</v>
      </c>
      <c r="G50" s="77" t="s">
        <v>65</v>
      </c>
      <c r="H50" s="55"/>
    </row>
    <row r="51" spans="1:8">
      <c r="A51" s="13">
        <v>47</v>
      </c>
      <c r="B51" s="11" t="s">
        <v>208</v>
      </c>
      <c r="C51" s="50">
        <v>4</v>
      </c>
      <c r="D51" s="51" t="s">
        <v>211</v>
      </c>
      <c r="E51" s="54">
        <v>4190</v>
      </c>
      <c r="F51" s="73">
        <f t="shared" si="0"/>
        <v>16760</v>
      </c>
      <c r="G51" s="77" t="s">
        <v>65</v>
      </c>
      <c r="H51" s="55"/>
    </row>
    <row r="52" spans="1:8">
      <c r="A52" s="13">
        <v>48</v>
      </c>
      <c r="B52" s="11" t="s">
        <v>209</v>
      </c>
      <c r="C52" s="50">
        <v>4</v>
      </c>
      <c r="D52" s="51" t="s">
        <v>211</v>
      </c>
      <c r="E52" s="54">
        <v>4190</v>
      </c>
      <c r="F52" s="73">
        <f t="shared" si="0"/>
        <v>16760</v>
      </c>
      <c r="G52" s="77" t="s">
        <v>65</v>
      </c>
      <c r="H52" s="55"/>
    </row>
    <row r="53" spans="1:8">
      <c r="A53" s="13">
        <v>49</v>
      </c>
      <c r="B53" s="11" t="s">
        <v>210</v>
      </c>
      <c r="C53" s="50">
        <v>4</v>
      </c>
      <c r="D53" s="51" t="s">
        <v>211</v>
      </c>
      <c r="E53" s="54">
        <v>4190</v>
      </c>
      <c r="F53" s="73">
        <f t="shared" si="0"/>
        <v>16760</v>
      </c>
      <c r="G53" s="77" t="s">
        <v>65</v>
      </c>
      <c r="H53" s="55"/>
    </row>
    <row r="54" spans="1:8">
      <c r="A54" s="10"/>
      <c r="B54" s="11"/>
      <c r="C54" s="50"/>
      <c r="D54" s="51"/>
      <c r="E54" s="116"/>
      <c r="F54" s="54"/>
      <c r="G54" s="58"/>
      <c r="H54" s="55"/>
    </row>
    <row r="55" spans="1:8" ht="21.1" customHeight="1">
      <c r="A55" s="10"/>
      <c r="B55" s="11"/>
      <c r="C55" s="78"/>
      <c r="D55" s="79"/>
      <c r="E55" s="79" t="s">
        <v>4</v>
      </c>
      <c r="F55" s="75">
        <f>SUM(F5:F53)</f>
        <v>245010</v>
      </c>
      <c r="G55" s="58"/>
      <c r="H55" s="55"/>
    </row>
    <row r="57" spans="1:8" ht="17.5" customHeight="1"/>
  </sheetData>
  <mergeCells count="8">
    <mergeCell ref="A1:G1"/>
    <mergeCell ref="A2:G2"/>
    <mergeCell ref="G3:G4"/>
    <mergeCell ref="A3:A4"/>
    <mergeCell ref="B3:B4"/>
    <mergeCell ref="C3:D4"/>
    <mergeCell ref="E3:E4"/>
    <mergeCell ref="F3:F4"/>
  </mergeCells>
  <hyperlinks>
    <hyperlink ref="H22" r:id="rId1" xr:uid="{F23CFD3E-046C-4C4F-AB63-D10D80D3E998}"/>
    <hyperlink ref="H25" r:id="rId2" xr:uid="{A6F3AB5B-E880-4BDC-AA10-891F75C7ED06}"/>
    <hyperlink ref="H24" r:id="rId3" xr:uid="{B964E44A-E3EA-49B4-86C1-6FFDDC20ED8F}"/>
    <hyperlink ref="H26" r:id="rId4" xr:uid="{2DC03F11-8B41-4D1F-B6BD-DD0262216CC8}"/>
    <hyperlink ref="H27" r:id="rId5" xr:uid="{EAEBD8F8-7208-487F-ABA4-34BC78A1B3F4}"/>
    <hyperlink ref="H28" r:id="rId6" xr:uid="{8F66F951-DD9A-4968-A936-E2450FDD48F8}"/>
    <hyperlink ref="H30" r:id="rId7" xr:uid="{C9F1DDE1-86BF-4B51-986F-9CF000868BEF}"/>
    <hyperlink ref="H31" r:id="rId8" xr:uid="{85D0C2D9-B619-427A-9C56-D2A0286CF523}"/>
    <hyperlink ref="H32" r:id="rId9" xr:uid="{280B1F5A-5C0A-40F4-80CF-1CB7C14D14B4}"/>
    <hyperlink ref="H23" r:id="rId10" xr:uid="{3F35FF6C-7DA7-4036-96B1-8EB58187B614}"/>
    <hyperlink ref="H33" r:id="rId11" xr:uid="{F611A54E-A006-40BF-B90F-9880BEA7C035}"/>
    <hyperlink ref="H34" r:id="rId12" xr:uid="{F5058C8E-4B17-4FFE-810C-5D1ECDF0A6E1}"/>
    <hyperlink ref="H35" r:id="rId13" xr:uid="{E96C3AB0-1EE7-4399-A39B-8800F58EA20F}"/>
    <hyperlink ref="H36" r:id="rId14" xr:uid="{9081B4B1-057E-4B2A-95A0-ED4A3B95264C}"/>
    <hyperlink ref="H38" r:id="rId15" xr:uid="{E368F04F-81A4-43E5-9914-9B80ECB2E88E}"/>
    <hyperlink ref="H39" r:id="rId16" xr:uid="{CAF4BA63-A146-4D4C-A8EE-C1B245048B55}"/>
    <hyperlink ref="H29" r:id="rId17" xr:uid="{868FCA47-8CB4-4A42-B0FF-768F151C58E9}"/>
    <hyperlink ref="H17" r:id="rId18" xr:uid="{AD25C5A6-6613-411B-91B1-9649B76103BB}"/>
  </hyperlinks>
  <pageMargins left="0.39370078740157483" right="0.19685039370078741" top="0.62992125984251968" bottom="0.55118110236220474" header="0.47244094488188981" footer="0.51181102362204722"/>
  <pageSetup paperSize="9" scale="90" orientation="portrait" horizontalDpi="0" verticalDpi="0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881-56CF-4B27-AEDD-350C05A993FA}">
  <dimension ref="A1:G62"/>
  <sheetViews>
    <sheetView zoomScale="130" zoomScaleNormal="130" workbookViewId="0">
      <selection activeCell="B57" sqref="B57"/>
    </sheetView>
  </sheetViews>
  <sheetFormatPr defaultRowHeight="19.05"/>
  <cols>
    <col min="1" max="1" width="5.25" style="6" customWidth="1"/>
    <col min="2" max="2" width="59.875" style="6" customWidth="1"/>
    <col min="3" max="3" width="7.875" style="6" customWidth="1"/>
    <col min="4" max="4" width="8.375" style="6" customWidth="1"/>
    <col min="5" max="5" width="19.25" style="57" bestFit="1" customWidth="1"/>
    <col min="6" max="6" width="19.75" style="6" customWidth="1"/>
    <col min="7" max="7" width="18.5" style="61" customWidth="1"/>
    <col min="8" max="16384" width="9" style="6"/>
  </cols>
  <sheetData>
    <row r="1" spans="1:7">
      <c r="A1" s="120" t="s">
        <v>194</v>
      </c>
      <c r="B1" s="120"/>
      <c r="C1" s="120"/>
      <c r="D1" s="120"/>
      <c r="E1" s="120"/>
      <c r="F1" s="53"/>
    </row>
    <row r="2" spans="1:7">
      <c r="A2" s="120" t="s">
        <v>206</v>
      </c>
      <c r="B2" s="120"/>
      <c r="C2" s="120"/>
      <c r="D2" s="120"/>
      <c r="E2" s="120"/>
      <c r="F2" s="53"/>
    </row>
    <row r="3" spans="1:7">
      <c r="A3" s="111"/>
      <c r="B3" s="111"/>
      <c r="C3" s="111"/>
      <c r="D3" s="111"/>
      <c r="E3" s="111"/>
      <c r="F3" s="53"/>
    </row>
    <row r="4" spans="1:7" ht="26.15" customHeight="1">
      <c r="A4" s="122" t="s">
        <v>0</v>
      </c>
      <c r="B4" s="122" t="s">
        <v>1</v>
      </c>
      <c r="C4" s="124" t="s">
        <v>7</v>
      </c>
      <c r="D4" s="125"/>
      <c r="E4" s="132" t="s">
        <v>123</v>
      </c>
      <c r="F4" s="67"/>
      <c r="G4" s="68"/>
    </row>
    <row r="5" spans="1:7">
      <c r="A5" s="123"/>
      <c r="B5" s="123"/>
      <c r="C5" s="126"/>
      <c r="D5" s="127"/>
      <c r="E5" s="133"/>
      <c r="F5" s="67"/>
      <c r="G5" s="68"/>
    </row>
    <row r="6" spans="1:7" s="8" customFormat="1">
      <c r="A6" s="13">
        <v>1</v>
      </c>
      <c r="B6" s="11" t="s">
        <v>31</v>
      </c>
      <c r="C6" s="46">
        <v>400</v>
      </c>
      <c r="D6" s="47" t="s">
        <v>32</v>
      </c>
      <c r="E6" s="56" t="s">
        <v>124</v>
      </c>
      <c r="F6" s="60"/>
      <c r="G6" s="66"/>
    </row>
    <row r="7" spans="1:7" s="8" customFormat="1">
      <c r="A7" s="13">
        <v>2</v>
      </c>
      <c r="B7" s="9" t="s">
        <v>148</v>
      </c>
      <c r="C7" s="46">
        <v>4</v>
      </c>
      <c r="D7" s="47" t="s">
        <v>14</v>
      </c>
      <c r="E7" s="56" t="s">
        <v>124</v>
      </c>
      <c r="F7" s="60"/>
      <c r="G7" s="66"/>
    </row>
    <row r="8" spans="1:7" s="8" customFormat="1">
      <c r="A8" s="13">
        <v>3</v>
      </c>
      <c r="B8" s="9" t="s">
        <v>33</v>
      </c>
      <c r="C8" s="46">
        <v>2</v>
      </c>
      <c r="D8" s="47" t="s">
        <v>14</v>
      </c>
      <c r="E8" s="56" t="s">
        <v>124</v>
      </c>
      <c r="F8" s="60"/>
      <c r="G8" s="66"/>
    </row>
    <row r="9" spans="1:7" s="8" customFormat="1" ht="21.25" customHeight="1">
      <c r="A9" s="13">
        <v>4</v>
      </c>
      <c r="B9" s="9" t="s">
        <v>34</v>
      </c>
      <c r="C9" s="46">
        <v>8</v>
      </c>
      <c r="D9" s="47" t="s">
        <v>14</v>
      </c>
      <c r="E9" s="56" t="s">
        <v>129</v>
      </c>
      <c r="F9" s="60"/>
      <c r="G9" s="66"/>
    </row>
    <row r="10" spans="1:7" s="8" customFormat="1">
      <c r="A10" s="13">
        <v>5</v>
      </c>
      <c r="B10" s="9" t="s">
        <v>35</v>
      </c>
      <c r="C10" s="46">
        <v>3</v>
      </c>
      <c r="D10" s="47" t="s">
        <v>13</v>
      </c>
      <c r="E10" s="56" t="s">
        <v>124</v>
      </c>
      <c r="F10" s="60"/>
      <c r="G10" s="66"/>
    </row>
    <row r="11" spans="1:7" s="8" customFormat="1">
      <c r="A11" s="13">
        <v>6</v>
      </c>
      <c r="B11" s="9" t="s">
        <v>149</v>
      </c>
      <c r="C11" s="46">
        <v>6</v>
      </c>
      <c r="D11" s="47" t="s">
        <v>14</v>
      </c>
      <c r="E11" s="56" t="s">
        <v>126</v>
      </c>
      <c r="F11" s="60"/>
      <c r="G11" s="66"/>
    </row>
    <row r="12" spans="1:7" s="8" customFormat="1">
      <c r="A12" s="13">
        <v>7</v>
      </c>
      <c r="B12" s="9" t="s">
        <v>150</v>
      </c>
      <c r="C12" s="46">
        <v>5</v>
      </c>
      <c r="D12" s="47" t="s">
        <v>14</v>
      </c>
      <c r="E12" s="56" t="s">
        <v>124</v>
      </c>
      <c r="F12" s="60"/>
      <c r="G12" s="66"/>
    </row>
    <row r="13" spans="1:7" s="8" customFormat="1">
      <c r="A13" s="13">
        <v>8</v>
      </c>
      <c r="B13" s="9" t="s">
        <v>151</v>
      </c>
      <c r="C13" s="46">
        <v>4</v>
      </c>
      <c r="D13" s="47" t="s">
        <v>13</v>
      </c>
      <c r="E13" s="56" t="s">
        <v>125</v>
      </c>
      <c r="F13" s="60"/>
      <c r="G13" s="66"/>
    </row>
    <row r="14" spans="1:7" s="8" customFormat="1">
      <c r="A14" s="13">
        <v>9</v>
      </c>
      <c r="B14" s="11" t="s">
        <v>152</v>
      </c>
      <c r="C14" s="50">
        <v>2</v>
      </c>
      <c r="D14" s="51" t="s">
        <v>14</v>
      </c>
      <c r="E14" s="56" t="s">
        <v>124</v>
      </c>
      <c r="F14" s="60"/>
      <c r="G14" s="66"/>
    </row>
    <row r="15" spans="1:7" s="8" customFormat="1">
      <c r="A15" s="13">
        <v>10</v>
      </c>
      <c r="B15" s="11" t="s">
        <v>153</v>
      </c>
      <c r="C15" s="50">
        <v>1</v>
      </c>
      <c r="D15" s="51" t="s">
        <v>14</v>
      </c>
      <c r="E15" s="56" t="s">
        <v>124</v>
      </c>
      <c r="F15" s="60"/>
      <c r="G15" s="66"/>
    </row>
    <row r="16" spans="1:7" s="8" customFormat="1">
      <c r="A16" s="13">
        <v>11</v>
      </c>
      <c r="B16" s="11" t="s">
        <v>154</v>
      </c>
      <c r="C16" s="50">
        <v>20</v>
      </c>
      <c r="D16" s="51" t="s">
        <v>16</v>
      </c>
      <c r="E16" s="56" t="s">
        <v>124</v>
      </c>
      <c r="F16" s="60"/>
      <c r="G16" s="66"/>
    </row>
    <row r="17" spans="1:7" s="8" customFormat="1">
      <c r="A17" s="13">
        <v>12</v>
      </c>
      <c r="B17" s="11" t="s">
        <v>155</v>
      </c>
      <c r="C17" s="50">
        <v>5</v>
      </c>
      <c r="D17" s="51" t="s">
        <v>5</v>
      </c>
      <c r="E17" s="56" t="s">
        <v>124</v>
      </c>
      <c r="F17" s="60"/>
      <c r="G17" s="66"/>
    </row>
    <row r="18" spans="1:7" s="8" customFormat="1">
      <c r="A18" s="13">
        <v>13</v>
      </c>
      <c r="B18" s="11" t="s">
        <v>156</v>
      </c>
      <c r="C18" s="50">
        <v>5</v>
      </c>
      <c r="D18" s="51" t="s">
        <v>12</v>
      </c>
      <c r="E18" s="56" t="s">
        <v>138</v>
      </c>
      <c r="F18" s="76" t="s">
        <v>41</v>
      </c>
      <c r="G18" s="66"/>
    </row>
    <row r="19" spans="1:7" s="8" customFormat="1">
      <c r="A19" s="13">
        <v>14</v>
      </c>
      <c r="B19" s="11" t="s">
        <v>157</v>
      </c>
      <c r="C19" s="50">
        <v>4</v>
      </c>
      <c r="D19" s="51" t="s">
        <v>14</v>
      </c>
      <c r="E19" s="56" t="s">
        <v>124</v>
      </c>
      <c r="F19" s="60"/>
      <c r="G19" s="66"/>
    </row>
    <row r="20" spans="1:7" s="8" customFormat="1">
      <c r="A20" s="13">
        <v>15</v>
      </c>
      <c r="B20" s="11" t="s">
        <v>158</v>
      </c>
      <c r="C20" s="50">
        <v>4</v>
      </c>
      <c r="D20" s="51" t="s">
        <v>14</v>
      </c>
      <c r="E20" s="56" t="s">
        <v>124</v>
      </c>
      <c r="F20" s="60"/>
      <c r="G20" s="66"/>
    </row>
    <row r="21" spans="1:7" s="8" customFormat="1">
      <c r="A21" s="13">
        <v>16</v>
      </c>
      <c r="B21" s="11" t="s">
        <v>44</v>
      </c>
      <c r="C21" s="50">
        <v>2</v>
      </c>
      <c r="D21" s="51" t="s">
        <v>5</v>
      </c>
      <c r="E21" s="56" t="s">
        <v>124</v>
      </c>
      <c r="F21" s="60"/>
      <c r="G21" s="66"/>
    </row>
    <row r="22" spans="1:7" s="8" customFormat="1">
      <c r="A22" s="13">
        <v>17</v>
      </c>
      <c r="B22" s="11" t="s">
        <v>45</v>
      </c>
      <c r="C22" s="50">
        <v>3</v>
      </c>
      <c r="D22" s="51" t="s">
        <v>5</v>
      </c>
      <c r="E22" s="56" t="s">
        <v>124</v>
      </c>
      <c r="F22" s="60"/>
      <c r="G22" s="66"/>
    </row>
    <row r="23" spans="1:7" s="8" customFormat="1">
      <c r="A23" s="13">
        <v>18</v>
      </c>
      <c r="B23" s="11" t="s">
        <v>46</v>
      </c>
      <c r="C23" s="46">
        <v>1</v>
      </c>
      <c r="D23" s="47" t="s">
        <v>14</v>
      </c>
      <c r="E23" s="56" t="s">
        <v>124</v>
      </c>
      <c r="F23" s="76" t="s">
        <v>41</v>
      </c>
      <c r="G23" s="66"/>
    </row>
    <row r="24" spans="1:7" s="8" customFormat="1">
      <c r="A24" s="13">
        <v>19</v>
      </c>
      <c r="B24" s="11" t="s">
        <v>159</v>
      </c>
      <c r="C24" s="50">
        <v>7</v>
      </c>
      <c r="D24" s="51" t="s">
        <v>14</v>
      </c>
      <c r="E24" s="56" t="s">
        <v>196</v>
      </c>
      <c r="F24" s="76" t="s">
        <v>41</v>
      </c>
      <c r="G24" s="66" t="s">
        <v>144</v>
      </c>
    </row>
    <row r="25" spans="1:7" s="8" customFormat="1">
      <c r="A25" s="13">
        <v>20</v>
      </c>
      <c r="B25" s="11" t="s">
        <v>173</v>
      </c>
      <c r="C25" s="50">
        <v>2</v>
      </c>
      <c r="D25" s="51" t="s">
        <v>14</v>
      </c>
      <c r="E25" s="56" t="s">
        <v>124</v>
      </c>
      <c r="F25" s="76" t="s">
        <v>41</v>
      </c>
      <c r="G25" s="66"/>
    </row>
    <row r="26" spans="1:7" s="8" customFormat="1">
      <c r="A26" s="13">
        <v>21</v>
      </c>
      <c r="B26" s="11" t="s">
        <v>48</v>
      </c>
      <c r="C26" s="50">
        <v>4</v>
      </c>
      <c r="D26" s="51" t="s">
        <v>14</v>
      </c>
      <c r="E26" s="56" t="s">
        <v>124</v>
      </c>
      <c r="F26" s="76" t="s">
        <v>41</v>
      </c>
      <c r="G26" s="66"/>
    </row>
    <row r="27" spans="1:7" s="8" customFormat="1" ht="38.049999999999997">
      <c r="A27" s="13">
        <v>22</v>
      </c>
      <c r="B27" s="11" t="s">
        <v>198</v>
      </c>
      <c r="C27" s="50">
        <v>10</v>
      </c>
      <c r="D27" s="51" t="s">
        <v>15</v>
      </c>
      <c r="E27" s="56" t="s">
        <v>124</v>
      </c>
      <c r="F27" s="76" t="s">
        <v>41</v>
      </c>
      <c r="G27" s="66"/>
    </row>
    <row r="28" spans="1:7" s="8" customFormat="1">
      <c r="A28" s="13">
        <v>23</v>
      </c>
      <c r="B28" s="11" t="s">
        <v>50</v>
      </c>
      <c r="C28" s="50">
        <v>5</v>
      </c>
      <c r="D28" s="51" t="s">
        <v>51</v>
      </c>
      <c r="E28" s="56" t="s">
        <v>124</v>
      </c>
      <c r="F28" s="76" t="s">
        <v>41</v>
      </c>
      <c r="G28" s="66"/>
    </row>
    <row r="29" spans="1:7" s="8" customFormat="1">
      <c r="A29" s="13">
        <v>24</v>
      </c>
      <c r="B29" s="11" t="s">
        <v>52</v>
      </c>
      <c r="C29" s="50">
        <v>10</v>
      </c>
      <c r="D29" s="51" t="s">
        <v>11</v>
      </c>
      <c r="E29" s="56" t="s">
        <v>124</v>
      </c>
      <c r="F29" s="76" t="s">
        <v>41</v>
      </c>
      <c r="G29" s="66"/>
    </row>
    <row r="30" spans="1:7" s="8" customFormat="1">
      <c r="A30" s="13">
        <v>25</v>
      </c>
      <c r="B30" s="11" t="s">
        <v>53</v>
      </c>
      <c r="C30" s="50">
        <v>4</v>
      </c>
      <c r="D30" s="51" t="s">
        <v>54</v>
      </c>
      <c r="E30" s="56" t="s">
        <v>124</v>
      </c>
      <c r="F30" s="76" t="s">
        <v>41</v>
      </c>
      <c r="G30" s="66"/>
    </row>
    <row r="31" spans="1:7" s="8" customFormat="1" ht="38.049999999999997">
      <c r="A31" s="13">
        <v>26</v>
      </c>
      <c r="B31" s="11" t="s">
        <v>199</v>
      </c>
      <c r="C31" s="50">
        <v>2</v>
      </c>
      <c r="D31" s="51" t="s">
        <v>5</v>
      </c>
      <c r="E31" s="56" t="s">
        <v>124</v>
      </c>
      <c r="F31" s="76" t="s">
        <v>41</v>
      </c>
      <c r="G31" s="66"/>
    </row>
    <row r="32" spans="1:7" s="8" customFormat="1" ht="38.049999999999997">
      <c r="A32" s="13">
        <v>27</v>
      </c>
      <c r="B32" s="11" t="s">
        <v>200</v>
      </c>
      <c r="C32" s="50">
        <v>2</v>
      </c>
      <c r="D32" s="51" t="s">
        <v>5</v>
      </c>
      <c r="E32" s="56" t="s">
        <v>124</v>
      </c>
      <c r="F32" s="76" t="s">
        <v>41</v>
      </c>
      <c r="G32" s="66"/>
    </row>
    <row r="33" spans="1:7" s="8" customFormat="1" ht="38.049999999999997">
      <c r="A33" s="13">
        <v>28</v>
      </c>
      <c r="B33" s="11" t="s">
        <v>201</v>
      </c>
      <c r="C33" s="50">
        <v>4</v>
      </c>
      <c r="D33" s="51" t="s">
        <v>5</v>
      </c>
      <c r="E33" s="56" t="s">
        <v>124</v>
      </c>
      <c r="F33" s="76" t="s">
        <v>41</v>
      </c>
      <c r="G33" s="66"/>
    </row>
    <row r="34" spans="1:7" s="8" customFormat="1">
      <c r="A34" s="13">
        <v>29</v>
      </c>
      <c r="B34" s="11" t="s">
        <v>162</v>
      </c>
      <c r="C34" s="50">
        <v>4</v>
      </c>
      <c r="D34" s="51" t="s">
        <v>14</v>
      </c>
      <c r="E34" s="56" t="s">
        <v>124</v>
      </c>
      <c r="F34" s="76" t="s">
        <v>41</v>
      </c>
      <c r="G34" s="66"/>
    </row>
    <row r="35" spans="1:7" s="8" customFormat="1">
      <c r="A35" s="13">
        <v>30</v>
      </c>
      <c r="B35" s="11" t="s">
        <v>163</v>
      </c>
      <c r="C35" s="50">
        <v>20</v>
      </c>
      <c r="D35" s="51" t="s">
        <v>14</v>
      </c>
      <c r="E35" s="56" t="s">
        <v>124</v>
      </c>
      <c r="F35" s="76" t="s">
        <v>41</v>
      </c>
      <c r="G35" s="66"/>
    </row>
    <row r="36" spans="1:7" s="8" customFormat="1" ht="38.049999999999997">
      <c r="A36" s="13">
        <v>31</v>
      </c>
      <c r="B36" s="11" t="s">
        <v>202</v>
      </c>
      <c r="C36" s="50">
        <v>20</v>
      </c>
      <c r="D36" s="51" t="s">
        <v>14</v>
      </c>
      <c r="E36" s="56" t="s">
        <v>124</v>
      </c>
      <c r="F36" s="76" t="s">
        <v>41</v>
      </c>
      <c r="G36" s="66"/>
    </row>
    <row r="37" spans="1:7" s="8" customFormat="1" ht="57.1">
      <c r="A37" s="13">
        <v>32</v>
      </c>
      <c r="B37" s="11" t="s">
        <v>60</v>
      </c>
      <c r="C37" s="50">
        <v>20</v>
      </c>
      <c r="D37" s="51" t="s">
        <v>14</v>
      </c>
      <c r="E37" s="56" t="s">
        <v>124</v>
      </c>
      <c r="F37" s="76" t="s">
        <v>41</v>
      </c>
      <c r="G37" s="66"/>
    </row>
    <row r="38" spans="1:7" s="8" customFormat="1" ht="38.049999999999997">
      <c r="A38" s="13">
        <v>33</v>
      </c>
      <c r="B38" s="11" t="s">
        <v>183</v>
      </c>
      <c r="C38" s="50">
        <v>1</v>
      </c>
      <c r="D38" s="51" t="s">
        <v>61</v>
      </c>
      <c r="E38" s="56" t="s">
        <v>124</v>
      </c>
      <c r="F38" s="60"/>
      <c r="G38" s="66"/>
    </row>
    <row r="39" spans="1:7" s="8" customFormat="1" ht="57.1">
      <c r="A39" s="13">
        <v>34</v>
      </c>
      <c r="B39" s="11" t="s">
        <v>62</v>
      </c>
      <c r="C39" s="50">
        <v>1</v>
      </c>
      <c r="D39" s="51" t="s">
        <v>14</v>
      </c>
      <c r="E39" s="56" t="s">
        <v>124</v>
      </c>
      <c r="F39" s="76" t="s">
        <v>41</v>
      </c>
      <c r="G39" s="66"/>
    </row>
    <row r="40" spans="1:7" s="8" customFormat="1" ht="38.049999999999997">
      <c r="A40" s="13">
        <v>35</v>
      </c>
      <c r="B40" s="11" t="s">
        <v>197</v>
      </c>
      <c r="C40" s="50">
        <v>4</v>
      </c>
      <c r="D40" s="51" t="s">
        <v>14</v>
      </c>
      <c r="E40" s="56" t="s">
        <v>124</v>
      </c>
      <c r="F40" s="76" t="s">
        <v>41</v>
      </c>
      <c r="G40" s="66"/>
    </row>
    <row r="41" spans="1:7" s="8" customFormat="1">
      <c r="A41" s="13">
        <v>36</v>
      </c>
      <c r="B41" s="11" t="s">
        <v>165</v>
      </c>
      <c r="C41" s="50">
        <v>3</v>
      </c>
      <c r="D41" s="51" t="s">
        <v>12</v>
      </c>
      <c r="E41" s="59" t="s">
        <v>65</v>
      </c>
      <c r="F41" s="60"/>
      <c r="G41" s="66"/>
    </row>
    <row r="42" spans="1:7" s="8" customFormat="1">
      <c r="A42" s="13">
        <v>37</v>
      </c>
      <c r="B42" s="11" t="s">
        <v>166</v>
      </c>
      <c r="C42" s="50">
        <v>4</v>
      </c>
      <c r="D42" s="51" t="s">
        <v>14</v>
      </c>
      <c r="E42" s="59" t="s">
        <v>65</v>
      </c>
      <c r="F42" s="60"/>
      <c r="G42" s="66"/>
    </row>
    <row r="43" spans="1:7" s="8" customFormat="1">
      <c r="A43" s="13">
        <v>38</v>
      </c>
      <c r="B43" s="11" t="s">
        <v>167</v>
      </c>
      <c r="C43" s="50">
        <v>7</v>
      </c>
      <c r="D43" s="51" t="s">
        <v>14</v>
      </c>
      <c r="E43" s="59" t="s">
        <v>66</v>
      </c>
      <c r="F43" s="60"/>
      <c r="G43" s="66"/>
    </row>
    <row r="44" spans="1:7" s="8" customFormat="1">
      <c r="A44" s="13">
        <v>39</v>
      </c>
      <c r="B44" s="11" t="s">
        <v>168</v>
      </c>
      <c r="C44" s="50">
        <v>2</v>
      </c>
      <c r="D44" s="51" t="s">
        <v>9</v>
      </c>
      <c r="E44" s="59" t="s">
        <v>66</v>
      </c>
      <c r="F44" s="60"/>
      <c r="G44" s="66"/>
    </row>
    <row r="45" spans="1:7" s="8" customFormat="1">
      <c r="A45" s="13">
        <v>40</v>
      </c>
      <c r="B45" s="11" t="s">
        <v>85</v>
      </c>
      <c r="C45" s="71">
        <v>1</v>
      </c>
      <c r="D45" s="72" t="s">
        <v>12</v>
      </c>
      <c r="E45" s="63" t="s">
        <v>132</v>
      </c>
      <c r="F45" s="27"/>
      <c r="G45" s="74" t="s">
        <v>127</v>
      </c>
    </row>
    <row r="46" spans="1:7" s="8" customFormat="1">
      <c r="A46" s="113">
        <v>41</v>
      </c>
      <c r="B46" s="11" t="s">
        <v>169</v>
      </c>
      <c r="C46" s="50">
        <v>1</v>
      </c>
      <c r="D46" s="51" t="s">
        <v>13</v>
      </c>
      <c r="E46" s="62" t="s">
        <v>132</v>
      </c>
      <c r="G46" s="74" t="s">
        <v>127</v>
      </c>
    </row>
    <row r="47" spans="1:7" s="8" customFormat="1">
      <c r="A47" s="113">
        <v>42</v>
      </c>
      <c r="B47" s="11" t="s">
        <v>177</v>
      </c>
      <c r="C47" s="50">
        <v>1</v>
      </c>
      <c r="D47" s="51" t="s">
        <v>13</v>
      </c>
      <c r="E47" s="62" t="s">
        <v>66</v>
      </c>
      <c r="G47" s="74"/>
    </row>
    <row r="48" spans="1:7" s="8" customFormat="1">
      <c r="A48" s="113">
        <v>43</v>
      </c>
      <c r="B48" s="11" t="s">
        <v>133</v>
      </c>
      <c r="C48" s="50">
        <v>3</v>
      </c>
      <c r="D48" s="51" t="s">
        <v>14</v>
      </c>
      <c r="E48" s="62" t="s">
        <v>140</v>
      </c>
      <c r="G48" s="74"/>
    </row>
    <row r="49" spans="1:7" s="8" customFormat="1">
      <c r="A49" s="13">
        <v>44</v>
      </c>
      <c r="B49" s="11" t="s">
        <v>170</v>
      </c>
      <c r="C49" s="50">
        <v>200</v>
      </c>
      <c r="D49" s="51" t="s">
        <v>17</v>
      </c>
      <c r="E49" s="59" t="s">
        <v>65</v>
      </c>
      <c r="G49" s="74" t="s">
        <v>143</v>
      </c>
    </row>
    <row r="50" spans="1:7" s="8" customFormat="1">
      <c r="A50" s="13">
        <v>45</v>
      </c>
      <c r="B50" s="11" t="s">
        <v>121</v>
      </c>
      <c r="C50" s="50">
        <v>30</v>
      </c>
      <c r="D50" s="51" t="s">
        <v>17</v>
      </c>
      <c r="E50" s="59" t="s">
        <v>65</v>
      </c>
      <c r="F50" s="55"/>
      <c r="G50" s="66"/>
    </row>
    <row r="51" spans="1:7" s="8" customFormat="1">
      <c r="A51" s="13">
        <v>46</v>
      </c>
      <c r="B51" s="11" t="s">
        <v>207</v>
      </c>
      <c r="C51" s="50">
        <v>4</v>
      </c>
      <c r="D51" s="51" t="s">
        <v>211</v>
      </c>
      <c r="E51" s="59" t="s">
        <v>65</v>
      </c>
      <c r="F51" s="55"/>
      <c r="G51" s="66"/>
    </row>
    <row r="52" spans="1:7" s="8" customFormat="1">
      <c r="A52" s="13">
        <v>47</v>
      </c>
      <c r="B52" s="11" t="s">
        <v>208</v>
      </c>
      <c r="C52" s="50">
        <v>4</v>
      </c>
      <c r="D52" s="51" t="s">
        <v>211</v>
      </c>
      <c r="E52" s="59" t="s">
        <v>65</v>
      </c>
      <c r="G52" s="115"/>
    </row>
    <row r="53" spans="1:7" s="8" customFormat="1">
      <c r="A53" s="13">
        <v>48</v>
      </c>
      <c r="B53" s="11" t="s">
        <v>209</v>
      </c>
      <c r="C53" s="50">
        <v>4</v>
      </c>
      <c r="D53" s="51" t="s">
        <v>211</v>
      </c>
      <c r="E53" s="59" t="s">
        <v>65</v>
      </c>
      <c r="G53" s="115"/>
    </row>
    <row r="54" spans="1:7" s="4" customFormat="1" ht="21.1">
      <c r="A54" s="13">
        <v>49</v>
      </c>
      <c r="B54" s="11" t="s">
        <v>210</v>
      </c>
      <c r="C54" s="50">
        <v>4</v>
      </c>
      <c r="D54" s="51" t="s">
        <v>211</v>
      </c>
      <c r="E54" s="59" t="s">
        <v>65</v>
      </c>
    </row>
    <row r="55" spans="1:7" s="1" customFormat="1" ht="21.1">
      <c r="A55" s="4"/>
      <c r="C55" s="5"/>
      <c r="D55" s="2"/>
    </row>
    <row r="56" spans="1:7" s="1" customFormat="1" ht="21.1">
      <c r="A56" s="4"/>
      <c r="C56" s="5"/>
      <c r="D56" s="2"/>
    </row>
    <row r="57" spans="1:7" s="1" customFormat="1" ht="21.1">
      <c r="A57" s="4"/>
      <c r="C57" s="5"/>
      <c r="D57" s="2"/>
    </row>
    <row r="58" spans="1:7" s="1" customFormat="1" ht="21.1">
      <c r="A58" s="4"/>
      <c r="B58" s="112" t="s">
        <v>203</v>
      </c>
      <c r="C58" s="114" t="s">
        <v>205</v>
      </c>
      <c r="D58" s="2"/>
    </row>
    <row r="59" spans="1:7" s="1" customFormat="1" ht="21.1">
      <c r="B59" s="36" t="s">
        <v>204</v>
      </c>
      <c r="C59" s="114" t="s">
        <v>195</v>
      </c>
      <c r="D59" s="2"/>
    </row>
    <row r="60" spans="1:7" s="1" customFormat="1" ht="21.1">
      <c r="B60" s="36"/>
      <c r="C60" s="5"/>
      <c r="D60" s="2"/>
    </row>
    <row r="61" spans="1:7" s="1" customFormat="1" ht="21.1">
      <c r="B61" s="36"/>
      <c r="C61" s="5"/>
      <c r="D61" s="2"/>
    </row>
    <row r="62" spans="1:7" s="3" customFormat="1" ht="23.3" customHeight="1">
      <c r="A62" s="1"/>
      <c r="B62" s="36"/>
      <c r="C62" s="5"/>
      <c r="D62" s="2"/>
      <c r="E62" s="1"/>
      <c r="F62" s="1"/>
    </row>
  </sheetData>
  <mergeCells count="6">
    <mergeCell ref="A1:E1"/>
    <mergeCell ref="A2:E2"/>
    <mergeCell ref="A4:A5"/>
    <mergeCell ref="B4:B5"/>
    <mergeCell ref="C4:D5"/>
    <mergeCell ref="E4:E5"/>
  </mergeCells>
  <hyperlinks>
    <hyperlink ref="F23" r:id="rId1" xr:uid="{536473C0-3E68-4EA7-8255-470B37833458}"/>
    <hyperlink ref="F26" r:id="rId2" xr:uid="{376F8DBD-9ABD-4158-89C3-BEEA34DE9370}"/>
    <hyperlink ref="F25" r:id="rId3" xr:uid="{1689F9A1-B5BA-428C-A074-8DA4CC78A93B}"/>
    <hyperlink ref="F27" r:id="rId4" xr:uid="{CCD615DE-1799-4F69-85C7-EF5AB5066658}"/>
    <hyperlink ref="F28" r:id="rId5" xr:uid="{E56A2A47-B3C6-4A9C-9F7B-6D89E8A933F2}"/>
    <hyperlink ref="F29" r:id="rId6" xr:uid="{C424267B-E6CD-46A9-A010-FC14D8083DF9}"/>
    <hyperlink ref="F31" r:id="rId7" xr:uid="{CE71B7E5-08F2-4533-9273-99E4416BA22A}"/>
    <hyperlink ref="F32" r:id="rId8" xr:uid="{23B07CBF-4B6B-4003-9F84-B8B3FDF5BB21}"/>
    <hyperlink ref="F33" r:id="rId9" xr:uid="{A90FC3E8-C036-43CE-B509-0E354C36C7CF}"/>
    <hyperlink ref="F24" r:id="rId10" xr:uid="{AC91D7B5-0FE8-428F-AAE7-5138EEBC651E}"/>
    <hyperlink ref="F34" r:id="rId11" xr:uid="{84876736-92E8-433E-91DD-A7A185EDB5EF}"/>
    <hyperlink ref="F35" r:id="rId12" xr:uid="{24F41F03-83A1-416F-BBE6-38BC75C828BD}"/>
    <hyperlink ref="F36" r:id="rId13" xr:uid="{71237818-7705-4BF0-BCFC-A91B93F35B3B}"/>
    <hyperlink ref="F37" r:id="rId14" xr:uid="{167C98A2-9575-4AB5-96A7-B059B91013A3}"/>
    <hyperlink ref="F39" r:id="rId15" xr:uid="{FE51368A-15DD-4B94-AB47-F39D7E5845E8}"/>
    <hyperlink ref="F40" r:id="rId16" xr:uid="{7B9857E2-9C4A-460D-8D55-0C2E588F175F}"/>
    <hyperlink ref="F30" r:id="rId17" xr:uid="{54740755-3B43-482C-8E34-BBECA7FC6D75}"/>
    <hyperlink ref="F18" r:id="rId18" xr:uid="{5FD11883-A2F6-40A0-9143-6605C0455424}"/>
  </hyperlinks>
  <pageMargins left="0.45" right="0.34" top="0.78" bottom="0.68" header="0.53" footer="0.63"/>
  <pageSetup paperSize="9" scale="95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</vt:i4>
      </vt:variant>
    </vt:vector>
  </HeadingPairs>
  <TitlesOfParts>
    <vt:vector size="9" baseType="lpstr">
      <vt:lpstr>ราคากลาง69</vt:lpstr>
      <vt:lpstr>ราคาประมาณการ</vt:lpstr>
      <vt:lpstr>คุณลักษณะ69-1</vt:lpstr>
      <vt:lpstr>ร้านค้า</vt:lpstr>
      <vt:lpstr>แนบท้ายบันทึก</vt:lpstr>
      <vt:lpstr>แนบท้ายบันทึก!Print_Titles</vt:lpstr>
      <vt:lpstr>ราคากลาง69!Print_Titles</vt:lpstr>
      <vt:lpstr>ราคาประมาณการ!Print_Titles</vt:lpstr>
      <vt:lpstr>ร้านค้า!Print_Titles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ภัทรวรรณ ห้วยตะคุ</cp:lastModifiedBy>
  <cp:lastPrinted>2026-06-30T03:06:16Z</cp:lastPrinted>
  <dcterms:created xsi:type="dcterms:W3CDTF">2016-02-26T03:51:01Z</dcterms:created>
  <dcterms:modified xsi:type="dcterms:W3CDTF">2026-06-30T04:08:08Z</dcterms:modified>
</cp:coreProperties>
</file>